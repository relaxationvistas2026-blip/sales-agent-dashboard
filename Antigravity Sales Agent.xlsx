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ily Sales" sheetId="3" state="visible" r:id="rId3"/>
    <sheet xmlns:r="http://schemas.openxmlformats.org/officeDocument/2006/relationships" name="Sales Pivot Table" sheetId="4" state="visible" r:id="rId4"/>
  </sheets>
  <definedNames>
    <definedName name="_xlnm._FilterDatabase" localSheetId="2" hidden="1">'Daily Sales'!$B$1:$B$990</definedName>
  </definedNames>
  <calcPr calcId="191029" fullCalcOnLoad="1"/>
  <pivotCaches>
    <pivotCache xmlns:r="http://schemas.openxmlformats.org/officeDocument/2006/relationships" cacheId="0" r:id="rId5"/>
  </pivotCache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\$#,##0.00"/>
  </numFmts>
  <fonts count="9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000000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/>
    </fill>
    <fill>
      <patternFill patternType="solid">
        <fgColor rgb="FFF2F2F2"/>
        <bgColor rgb="FFF2F2F2"/>
      </patternFill>
    </fill>
    <fill>
      <patternFill patternType="solid">
        <fgColor rgb="FFEAEAEA"/>
        <bgColor rgb="FFEAEAE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AEAEA"/>
        <bgColor rgb="FFEAEAEA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000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164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 wrapText="1"/>
    </xf>
    <xf numFmtId="3" fontId="3" fillId="2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wrapText="1"/>
    </xf>
    <xf numFmtId="3" fontId="3" fillId="4" borderId="2" applyAlignment="1" pivotButton="0" quotePrefix="0" xfId="0">
      <alignment horizontal="right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4" applyAlignment="1" pivotButton="0" quotePrefix="0" xfId="0">
      <alignment horizontal="center" vertical="center" wrapText="1"/>
    </xf>
    <xf numFmtId="165" fontId="7" fillId="6" borderId="5" applyAlignment="1" pivotButton="0" quotePrefix="0" xfId="0">
      <alignment horizontal="right" vertical="center"/>
    </xf>
    <xf numFmtId="165" fontId="7" fillId="7" borderId="5" applyAlignment="1" pivotButton="0" quotePrefix="0" xfId="0">
      <alignment horizontal="right" vertical="center"/>
    </xf>
    <xf numFmtId="165" fontId="7" fillId="7" borderId="4" applyAlignment="1" pivotButton="0" quotePrefix="0" xfId="0">
      <alignment horizontal="right" vertical="center"/>
    </xf>
    <xf numFmtId="0" fontId="6" fillId="3" borderId="4" applyAlignment="1" pivotButton="1" quotePrefix="0" xfId="0">
      <alignment horizontal="center" vertical="center" wrapText="1"/>
    </xf>
    <xf numFmtId="0" fontId="7" fillId="6" borderId="5" applyAlignment="1" pivotButton="0" quotePrefix="0" xfId="0">
      <alignment horizontal="left" vertical="center"/>
    </xf>
    <xf numFmtId="3" fontId="7" fillId="6" borderId="5" applyAlignment="1" pivotButton="0" quotePrefix="0" xfId="0">
      <alignment horizontal="right" vertical="center"/>
    </xf>
    <xf numFmtId="0" fontId="7" fillId="7" borderId="5" applyAlignment="1" pivotButton="0" quotePrefix="0" xfId="0">
      <alignment horizontal="left" vertical="center"/>
    </xf>
    <xf numFmtId="3" fontId="7" fillId="7" borderId="5" applyAlignment="1" pivotButton="0" quotePrefix="0" xfId="0">
      <alignment horizontal="right" vertical="center"/>
    </xf>
    <xf numFmtId="0" fontId="8" fillId="8" borderId="6" applyAlignment="1" pivotButton="0" quotePrefix="0" xfId="0">
      <alignment horizontal="left" vertical="center"/>
    </xf>
    <xf numFmtId="3" fontId="8" fillId="8" borderId="6" applyAlignment="1" pivotButton="0" quotePrefix="0" xfId="0">
      <alignment horizontal="right" vertical="center"/>
    </xf>
    <xf numFmtId="165" fontId="8" fillId="8" borderId="6" applyAlignment="1" pivotButton="0" quotePrefix="0" xfId="0">
      <alignment horizontal="right" vertical="center"/>
    </xf>
    <xf numFmtId="165" fontId="7" fillId="6" borderId="5" applyAlignment="1" pivotButton="0" quotePrefix="0" xfId="0">
      <alignment horizontal="right" vertical="center"/>
    </xf>
    <xf numFmtId="165" fontId="7" fillId="7" borderId="5" applyAlignment="1" pivotButton="0" quotePrefix="0" xfId="0">
      <alignment horizontal="right" vertical="center"/>
    </xf>
    <xf numFmtId="165" fontId="7" fillId="7" borderId="4" applyAlignment="1" pivotButton="0" quotePrefix="0" xfId="0">
      <alignment horizontal="right" vertical="center"/>
    </xf>
    <xf numFmtId="165" fontId="8" fillId="8" borderId="6" applyAlignment="1" pivotButton="0" quotePrefix="0" xfId="0">
      <alignment horizontal="right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Customers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vril Lwin" refreshedDate="46175.2680230324" createdVersion="8" refreshedVersion="8" minRefreshableVersion="3" recordCount="28" r:id="rId1">
  <cacheSource type="worksheet">
    <worksheetSource ref="A1:M29" sheet="Daily Sales"/>
  </cacheSource>
  <cacheFields count="13">
    <cacheField name="Date" uniqueList="1" numFmtId="164" sqlType="0" hierarchy="0" level="0" databaseField="1">
      <sharedItems count="0" containsDate="1" containsNonDate="0" containsSemiMixedTypes="0" containsString="0" minDate="2026-05-28T00:00:00" maxDate="2026-06-03T00:00:00"/>
    </cacheField>
    <cacheField name="Product ID" uniqueList="1" numFmtId="0" sqlType="0" hierarchy="0" level="0" databaseField="1">
      <sharedItems count="0"/>
    </cacheField>
    <cacheField name="Product Name" uniqueList="1" numFmtId="0" sqlType="0" hierarchy="0" level="0" databaseField="1">
      <sharedItems count="8">
        <s v="Classic Camp Collar Shirt"/>
        <s v="Cozy Oversized Hoodie"/>
        <s v="Premium Minimalist Tee"/>
        <s v="Racing Edition Polo Shirt"/>
        <s v="Active Dry-Fit T-Shirt"/>
        <s v="Streetwear Cargo Joggers"/>
        <s v="Classic Flare Skirt"/>
        <s v="AeroFit Sports T-Shirt"/>
      </sharedItems>
    </cacheField>
    <cacheField name="Customer" uniqueList="1" numFmtId="0" sqlType="0" hierarchy="0" level="0" databaseField="1">
      <sharedItems count="0"/>
    </cacheField>
    <cacheField name="Category" uniqueList="1" numFmtId="0" sqlType="0" hierarchy="0" level="0" databaseField="1">
      <sharedItems count="0"/>
    </cacheField>
    <cacheField name="Price (USD/THB)" uniqueList="1" numFmtId="0" sqlType="0" hierarchy="0" level="0" databaseField="1">
      <sharedItems count="0"/>
    </cacheField>
    <cacheField name="Units Sold" uniqueList="1" numFmtId="3" sqlType="0" hierarchy="0" level="0" databaseField="1">
      <sharedItems count="0" containsInteger="1" containsNumber="1" containsSemiMixedTypes="0" containsString="0" minValue="1" maxValue="9"/>
    </cacheField>
    <cacheField name="Original Stock" uniqueList="1" numFmtId="3" sqlType="0" hierarchy="0" level="0" databaseField="1">
      <sharedItems count="0" containsInteger="1" containsNumber="1" containsSemiMixedTypes="0" containsString="0" minValue="50" maxValue="50"/>
    </cacheField>
    <cacheField name="Current Stock" uniqueList="1" numFmtId="0" sqlType="0" hierarchy="0" level="0" databaseField="1">
      <sharedItems count="0" containsInteger="1" containsNumber="1" containsSemiMixedTypes="0" containsString="0" minValue="36" maxValue="49"/>
    </cacheField>
    <cacheField name="Status" uniqueList="1" numFmtId="0" sqlType="0" hierarchy="0" level="0" databaseField="1">
      <sharedItems count="0"/>
    </cacheField>
    <cacheField name="Color Sold" uniqueList="1" numFmtId="0" sqlType="0" hierarchy="0" level="0" databaseField="1">
      <sharedItems count="4">
        <s v="Black"/>
        <s v="Dark Blue"/>
        <s v="Green"/>
        <s v="Red"/>
      </sharedItems>
    </cacheField>
    <cacheField name="Size" uniqueList="1" numFmtId="0" sqlType="0" hierarchy="0" level="0" databaseField="1">
      <sharedItems count="0"/>
    </cacheField>
    <cacheField name="Revenue (USD)" uniqueList="1" numFmtId="165" sqlType="0" hierarchy="0" level="0" databaseField="1">
      <sharedItems count="0" containsInteger="1" containsNumber="1" containsSemiMixedTypes="0" containsString="0" minValue="25" maxValue="450"/>
    </cacheField>
  </cacheFields>
</pivotCacheDefinition>
</file>

<file path=xl/pivotCache/pivotCacheRecords1.xml><?xml version="1.0" encoding="utf-8"?>
<pivotCacheRecords xmlns="http://schemas.openxmlformats.org/spreadsheetml/2006/main" count="28">
  <r>
    <d v="2026-05-30T00:00:00"/>
    <s v="PROD-008"/>
    <x v="0"/>
    <s v="Julia"/>
    <s v="Apparel"/>
    <s v="$40 / 1,350 THB"/>
    <n v="1"/>
    <n v="50"/>
    <n v="49"/>
    <s v="🟢 Healthy"/>
    <x v="0"/>
    <s v="Large"/>
    <n v="40"/>
  </r>
  <r>
    <d v="2026-05-30T00:00:00"/>
    <s v="PROD-011"/>
    <x v="1"/>
    <s v="Julia"/>
    <s v="Apparel"/>
    <s v="$50 / 1,700 THB"/>
    <n v="9"/>
    <n v="50"/>
    <n v="36"/>
    <s v="⚠️ Low Stock"/>
    <x v="0"/>
    <s v="Medium"/>
    <n v="450"/>
  </r>
  <r>
    <d v="2026-05-30T00:00:00"/>
    <s v="PROD-010"/>
    <x v="2"/>
    <s v="Leo"/>
    <s v="Apparel"/>
    <s v="$25 / 850 THB"/>
    <n v="5"/>
    <n v="50"/>
    <n v="43"/>
    <s v="🟢 Healthy"/>
    <x v="0"/>
    <s v="Medium"/>
    <n v="125"/>
  </r>
  <r>
    <d v="2026-05-30T00:00:00"/>
    <s v="PROD-007"/>
    <x v="3"/>
    <s v="Leo"/>
    <s v="Apparel"/>
    <s v="$45 / 1,550 THB"/>
    <n v="5"/>
    <n v="50"/>
    <n v="45"/>
    <s v="🟢 Healthy"/>
    <x v="1"/>
    <s v="Medium"/>
    <n v="225"/>
  </r>
  <r>
    <d v="2026-05-30T00:00:00"/>
    <s v="PROD-007"/>
    <x v="3"/>
    <s v="Julia"/>
    <s v="Apparel"/>
    <s v="$45 / 1,550 THB"/>
    <n v="1"/>
    <n v="50"/>
    <n v="49"/>
    <s v="🟢 Healthy"/>
    <x v="2"/>
    <s v="Small"/>
    <n v="45"/>
  </r>
  <r>
    <d v="2026-05-30T00:00:00"/>
    <s v="PROD-006"/>
    <x v="4"/>
    <s v="Julia"/>
    <s v="Apparel"/>
    <s v="$30 / 1,000 THB"/>
    <n v="1"/>
    <n v="50"/>
    <n v="44"/>
    <s v="🟢 Healthy"/>
    <x v="2"/>
    <s v="Small"/>
    <n v="30"/>
  </r>
  <r>
    <d v="2026-05-30T00:00:00"/>
    <s v="PROD-009"/>
    <x v="5"/>
    <s v="Julia"/>
    <s v="Apparel"/>
    <s v="$42 / 1,450 THB"/>
    <n v="1"/>
    <n v="50"/>
    <n v="49"/>
    <s v="🟢 Healthy"/>
    <x v="2"/>
    <s v="Small"/>
    <n v="42"/>
  </r>
  <r>
    <d v="2026-05-30T00:00:00"/>
    <s v="PROD-010"/>
    <x v="2"/>
    <s v="Julia"/>
    <s v="Apparel"/>
    <s v="$25 / 850 THB"/>
    <n v="1"/>
    <n v="50"/>
    <n v="49"/>
    <s v="🟢 Healthy"/>
    <x v="2"/>
    <s v="Small"/>
    <n v="25"/>
  </r>
  <r>
    <d v="2026-05-30T00:00:00"/>
    <s v="PROD-011"/>
    <x v="1"/>
    <s v="Julia"/>
    <s v="Apparel"/>
    <s v="$50 / 1,700 THB"/>
    <n v="1"/>
    <n v="50"/>
    <n v="49"/>
    <s v="⚠️ Low Stock"/>
    <x v="2"/>
    <s v="Small"/>
    <n v="50"/>
  </r>
  <r>
    <d v="2026-05-30T00:00:00"/>
    <s v="PROD-006"/>
    <x v="4"/>
    <s v="Julia"/>
    <s v="Apparel"/>
    <s v="$30 / 1,000 THB"/>
    <n v="5"/>
    <n v="50"/>
    <n v="44"/>
    <s v="🟢 Healthy"/>
    <x v="2"/>
    <s v="Medium"/>
    <n v="150"/>
  </r>
  <r>
    <d v="2026-05-30T00:00:00"/>
    <s v="PROD-008"/>
    <x v="0"/>
    <s v="Julia"/>
    <s v="Apparel"/>
    <s v="$40 / 1,350 THB"/>
    <n v="3"/>
    <n v="50"/>
    <n v="47"/>
    <s v="🟢 Healthy"/>
    <x v="1"/>
    <s v="Large"/>
    <n v="120"/>
  </r>
  <r>
    <d v="2026-05-30T00:00:00"/>
    <s v="PROD-011"/>
    <x v="1"/>
    <s v="Julia"/>
    <s v="Apparel"/>
    <s v="$50 / 1,700 THB"/>
    <n v="1"/>
    <n v="50"/>
    <n v="48"/>
    <s v="⚠️ Low Stock"/>
    <x v="3"/>
    <s v="Medium"/>
    <n v="50"/>
  </r>
  <r>
    <d v="2026-05-30T00:00:00"/>
    <s v="PROD-005"/>
    <x v="6"/>
    <s v="Trevor"/>
    <s v="Apparel"/>
    <s v="$28 / 950 THB"/>
    <n v="3"/>
    <n v="50"/>
    <n v="47"/>
    <s v="🟢 Healthy"/>
    <x v="1"/>
    <s v="XXL"/>
    <n v="84"/>
  </r>
  <r>
    <d v="2026-05-30T00:00:00"/>
    <s v="PROD-006"/>
    <x v="4"/>
    <s v="Trevor"/>
    <s v="Apparel"/>
    <s v="$30 / 1,000 THB"/>
    <n v="1"/>
    <n v="50"/>
    <n v="49"/>
    <s v="🟢 Healthy"/>
    <x v="0"/>
    <s v="Medium"/>
    <n v="30"/>
  </r>
  <r>
    <d v="2026-05-30T00:00:00"/>
    <s v="PROD-009"/>
    <x v="5"/>
    <s v="Trevor"/>
    <s v="Apparel"/>
    <s v="$42 / 1,450 THB"/>
    <n v="1"/>
    <n v="50"/>
    <n v="48"/>
    <s v="🟢 Healthy"/>
    <x v="0"/>
    <s v="XL"/>
    <n v="42"/>
  </r>
  <r>
    <d v="2026-05-30T00:00:00"/>
    <s v="PROD-005"/>
    <x v="6"/>
    <s v="Mike"/>
    <s v="Apparel"/>
    <s v="$28 / 950 THB"/>
    <n v="1"/>
    <n v="50"/>
    <n v="47"/>
    <s v="🟢 Healthy"/>
    <x v="0"/>
    <s v="XL"/>
    <n v="28"/>
  </r>
  <r>
    <d v="2026-05-30T00:00:00"/>
    <s v="PROD-011"/>
    <x v="1"/>
    <s v="Mike"/>
    <s v="Apparel"/>
    <s v="$50 / 1,700 THB"/>
    <n v="1"/>
    <n v="50"/>
    <n v="48"/>
    <s v="⚠️ Low Stock"/>
    <x v="3"/>
    <s v="Large"/>
    <n v="50"/>
  </r>
  <r>
    <d v="2026-05-30T00:00:00"/>
    <s v="PROD-007"/>
    <x v="3"/>
    <s v="Mike"/>
    <s v="Apparel"/>
    <s v="$45 / 1,550 THB"/>
    <n v="1"/>
    <n v="50"/>
    <n v="48"/>
    <s v="🟢 Healthy"/>
    <x v="0"/>
    <s v="Medium"/>
    <n v="45"/>
  </r>
  <r>
    <d v="2026-05-30T00:00:00"/>
    <s v="PROD-007"/>
    <x v="3"/>
    <s v="Mike"/>
    <s v="Apparel"/>
    <s v="$45 / 1,550 THB"/>
    <n v="2"/>
    <n v="50"/>
    <n v="48"/>
    <s v="🟢 Healthy"/>
    <x v="3"/>
    <s v="Large"/>
    <n v="90"/>
  </r>
  <r>
    <d v="2026-05-30T00:00:00"/>
    <s v="PROD-011"/>
    <x v="1"/>
    <s v="Julia"/>
    <s v="Apparel"/>
    <s v="$50 / 1,700 THB"/>
    <n v="5"/>
    <n v="50"/>
    <n v="36"/>
    <s v="⚠️ Low Stock"/>
    <x v="0"/>
    <s v="Medium"/>
    <n v="250"/>
  </r>
  <r>
    <d v="2026-05-30T00:00:00"/>
    <s v="PROD-005"/>
    <x v="6"/>
    <s v="Mary"/>
    <s v="Apparel"/>
    <s v="$28 / 950 THB"/>
    <n v="2"/>
    <n v="50"/>
    <n v="47"/>
    <s v="🟢 Healthy"/>
    <x v="0"/>
    <s v="Medium"/>
    <n v="56"/>
  </r>
  <r>
    <d v="2026-05-30T00:00:00"/>
    <s v="PROD-010"/>
    <x v="2"/>
    <s v="Avril"/>
    <s v="Apparel"/>
    <s v="$25 / 850 THB"/>
    <n v="1"/>
    <n v="50"/>
    <n v="43"/>
    <s v="🟢 Healthy"/>
    <x v="0"/>
    <s v="Medium"/>
    <n v="25"/>
  </r>
  <r>
    <d v="2026-05-29T00:00:00"/>
    <s v="PROD-007"/>
    <x v="3"/>
    <s v="Justin Bieber"/>
    <s v="Apparel"/>
    <s v="$45 / 1,550 THB"/>
    <n v="1"/>
    <n v="50"/>
    <n v="48"/>
    <s v="🟢 Healthy"/>
    <x v="0"/>
    <s v="Large"/>
    <n v="45"/>
  </r>
  <r>
    <d v="2026-05-29T00:00:00"/>
    <s v="PROD-009"/>
    <x v="5"/>
    <s v="Leo"/>
    <s v="Apparel"/>
    <s v="$42 / 1,450 THB"/>
    <n v="1"/>
    <n v="50"/>
    <n v="48"/>
    <s v="🟢 Healthy"/>
    <x v="0"/>
    <s v="Large"/>
    <n v="42"/>
  </r>
  <r>
    <d v="2026-05-29T00:00:00"/>
    <s v="PROD-010"/>
    <x v="2"/>
    <s v="Avril"/>
    <s v="Apparel"/>
    <s v="$25 / 850 THB"/>
    <n v="1"/>
    <n v="50"/>
    <n v="43"/>
    <s v="🟢 Healthy"/>
    <x v="0"/>
    <s v="Medium"/>
    <n v="25"/>
  </r>
  <r>
    <d v="2026-05-29T00:00:00"/>
    <s v="PROD-010"/>
    <x v="2"/>
    <s v="Avril"/>
    <s v="Apparel"/>
    <s v="$25 / 850 THB"/>
    <n v="1"/>
    <n v="50"/>
    <n v="49"/>
    <s v="🟢 Healthy"/>
    <x v="3"/>
    <s v="Medium"/>
    <n v="25"/>
  </r>
  <r>
    <d v="2026-05-28T00:00:00"/>
    <s v="PROD-002"/>
    <x v="7"/>
    <s v="Jeneffer"/>
    <s v="Apparel"/>
    <s v="$35 / 1,200 THB"/>
    <n v="2"/>
    <n v="50"/>
    <n v="48"/>
    <s v="⚠️ Low Stock"/>
    <x v="0"/>
    <s v="Medium"/>
    <n v="70"/>
  </r>
  <r>
    <d v="2026-06-02T00:00:00"/>
    <s v="PROD-009"/>
    <x v="5"/>
    <s v="Haily"/>
    <s v="Apparel"/>
    <s v="$42 / 1,450 THB"/>
    <n v="5"/>
    <n v="50"/>
    <n v="45"/>
    <s v="🟢 Healthy"/>
    <x v="1"/>
    <s v="Large"/>
    <n v="21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SalesPerformancePivot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26" firstHeaderRow="0" firstDataRow="1" firstDataCol="2"/>
  <pivotFields count="13">
    <pivotField showDropDowns="1" compact="0" numFmtId="164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8">
        <item t="data" sd="1" x="4"/>
        <item t="data" sd="1" x="7"/>
        <item t="data" sd="1" x="0"/>
        <item t="data" sd="1" x="6"/>
        <item t="data" sd="1" x="1"/>
        <item t="data" sd="1" x="2"/>
        <item t="data" sd="1" x="3"/>
        <item t="data" sd="1" x="5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numFmtId="3" outline="0" subtotalTop="1" dragToRow="1" dragToCol="1" dragToPage="1" dragToData="1" dragOff="1" showAll="0" topAutoShow="1" itemPageCount="10" sortType="manual" defaultSubtotal="1"/>
    <pivotField showDropDowns="1" compact="0" numFmtId="3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numFmtId="165" outline="0" subtotalTop="1" dragToRow="1" dragToCol="1" dragToPage="1" dragToData="1" dragOff="1" showAll="0" topAutoShow="1" itemPageCount="10" sortType="manual" defaultSubtotal="1"/>
  </pivotFields>
  <rowFields count="2">
    <field x="2"/>
    <field x="10"/>
  </rowFields>
  <rowItems count="21">
    <i t="data" r="0" i="0">
      <x v="0"/>
      <x v="0"/>
    </i>
    <i t="data" r="1" i="0">
      <x v="2"/>
    </i>
    <i t="data" r="0" i="0">
      <x v="1"/>
      <x v="0"/>
    </i>
    <i t="data" r="0" i="0">
      <x v="2"/>
      <x v="0"/>
    </i>
    <i t="data" r="1" i="0">
      <x v="1"/>
    </i>
    <i t="data" r="0" i="0">
      <x v="3"/>
      <x v="0"/>
    </i>
    <i t="data" r="1" i="0">
      <x v="1"/>
    </i>
    <i t="data" r="0" i="0">
      <x v="4"/>
      <x v="0"/>
    </i>
    <i t="data" r="1" i="0">
      <x v="2"/>
    </i>
    <i t="data" r="1" i="0">
      <x v="3"/>
    </i>
    <i t="data" r="0" i="0">
      <x v="5"/>
      <x v="0"/>
    </i>
    <i t="data" r="1" i="0">
      <x v="2"/>
    </i>
    <i t="data" r="1" i="0">
      <x v="3"/>
    </i>
    <i t="data" r="0" i="0">
      <x v="6"/>
      <x v="0"/>
    </i>
    <i t="data" r="1" i="0">
      <x v="1"/>
    </i>
    <i t="data" r="1" i="0">
      <x v="2"/>
    </i>
    <i t="data" r="1" i="0">
      <x v="3"/>
    </i>
    <i t="data" r="0" i="0">
      <x v="7"/>
      <x v="0"/>
    </i>
    <i t="data" r="1" i="0">
      <x v="1"/>
    </i>
    <i t="data" r="1" i="0">
      <x v="2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Total Units Sold" fld="6" subtotal="sum" showDataAs="normal" baseField="0" baseItem="0" numFmtId="3"/>
    <dataField name="Total Revenue (USD)" fld="12" subtotal="sum" showDataAs="normal" baseField="0" baseItem="0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E12" headerRowCount="1">
  <tableColumns count="5">
    <tableColumn id="1" name="Date"/>
    <tableColumn id="2" name="Customer Name"/>
    <tableColumn id="3" name="Shipping Address"/>
    <tableColumn id="4" name="Phone Number"/>
    <tableColumn id="5" name="Email Address"/>
  </tableColumns>
  <tableStyleInfo name="Custom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ulia@gmail.com" TargetMode="External" Id="rId1"/><Relationship Type="http://schemas.openxmlformats.org/officeDocument/2006/relationships/hyperlink" Target="mailto:leo@gmail.com" TargetMode="External" Id="rId2"/><Relationship Type="http://schemas.openxmlformats.org/officeDocument/2006/relationships/hyperlink" Target="mailto:trevor@gta.com" TargetMode="External" Id="rId3"/><Relationship Type="http://schemas.openxmlformats.org/officeDocument/2006/relationships/hyperlink" Target="mailto:mike@gmail.com" TargetMode="External" Id="rId4"/><Relationship Type="http://schemas.openxmlformats.org/officeDocument/2006/relationships/hyperlink" Target="mailto:mary@gmail.com" TargetMode="External" Id="rId5"/><Relationship Type="http://schemas.openxmlformats.org/officeDocument/2006/relationships/hyperlink" Target="mailto:avril@vistas.com" TargetMode="External" Id="rId6"/><Relationship Type="http://schemas.openxmlformats.org/officeDocument/2006/relationships/hyperlink" Target="mailto:jbieber@music.com" TargetMode="External" Id="rId7"/><Relationship Type="http://schemas.openxmlformats.org/officeDocument/2006/relationships/hyperlink" Target="mailto:lwin@vistas.com" TargetMode="External" Id="rId8"/><Relationship Type="http://schemas.openxmlformats.org/officeDocument/2006/relationships/hyperlink" Target="mailto:franklin@gta.com" TargetMode="External" Id="rId9"/><Relationship Type="http://schemas.openxmlformats.org/officeDocument/2006/relationships/hyperlink" Target="mailto:jeneffer@gmail.com" TargetMode="External" Id="rId10"/><Relationship Type="http://schemas.openxmlformats.org/officeDocument/2006/relationships/hyperlink" Target="mailto:michael@decenta.com" TargetMode="External" Id="rId11"/><Relationship Type="http://schemas.openxmlformats.org/officeDocument/2006/relationships/table" Target="/xl/tables/table1.xml" Id="rId12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3"/>
  <sheetViews>
    <sheetView tabSelected="1" workbookViewId="0">
      <pane ySplit="1" topLeftCell="A2" activePane="bottomLeft" state="frozen"/>
      <selection pane="bottomLeft" activeCell="E23" sqref="E23"/>
    </sheetView>
  </sheetViews>
  <sheetFormatPr baseColWidth="8" defaultColWidth="18.140625" defaultRowHeight="15.75" customHeight="1"/>
  <cols>
    <col width="15" bestFit="1" customWidth="1" min="1" max="1"/>
    <col width="18" bestFit="1" customWidth="1" min="2" max="2"/>
    <col width="55" bestFit="1" customWidth="1" min="3" max="3"/>
    <col width="15" bestFit="1" customWidth="1" min="4" max="4"/>
    <col width="25" bestFit="1" customWidth="1" min="5" max="5"/>
  </cols>
  <sheetData>
    <row r="1" ht="22.5" customHeight="1">
      <c r="A1" s="4" t="inlineStr">
        <is>
          <t>Date</t>
        </is>
      </c>
      <c r="B1" s="4" t="inlineStr">
        <is>
          <t>Customer Name</t>
        </is>
      </c>
      <c r="C1" s="4" t="inlineStr">
        <is>
          <t>Shipping Address</t>
        </is>
      </c>
      <c r="D1" s="4" t="inlineStr">
        <is>
          <t>Phone Number</t>
        </is>
      </c>
      <c r="E1" s="4" t="inlineStr">
        <is>
          <t>Email Address</t>
        </is>
      </c>
    </row>
    <row r="2" ht="22.5" customHeight="1">
      <c r="A2" s="5" t="n">
        <v>46172</v>
      </c>
      <c r="B2" s="6" t="inlineStr">
        <is>
          <t>Julia</t>
        </is>
      </c>
      <c r="C2" s="7" t="inlineStr">
        <is>
          <t>N/A, Mueang Chiang Mai, Chiang Mai, 50000, Thailand</t>
        </is>
      </c>
      <c r="D2" s="8" t="n">
        <v>66998877</v>
      </c>
      <c r="E2" s="6" t="inlineStr">
        <is>
          <t>julia@gmail.com</t>
        </is>
      </c>
    </row>
    <row r="3" ht="22.5" customHeight="1">
      <c r="A3" s="9" t="n">
        <v>46172</v>
      </c>
      <c r="B3" s="10" t="inlineStr">
        <is>
          <t>Leo</t>
        </is>
      </c>
      <c r="C3" s="11" t="inlineStr">
        <is>
          <t>N/A, N/A, N/A, 3000, USA</t>
        </is>
      </c>
      <c r="D3" s="12" t="n">
        <v>66998878</v>
      </c>
      <c r="E3" s="10" t="inlineStr">
        <is>
          <t>leo@gmail.com</t>
        </is>
      </c>
    </row>
    <row r="4" ht="22.5" customHeight="1">
      <c r="A4" s="5" t="n">
        <v>46172</v>
      </c>
      <c r="B4" s="6" t="inlineStr">
        <is>
          <t>Trevor</t>
        </is>
      </c>
      <c r="C4" s="7" t="inlineStr">
        <is>
          <t>N/A, Los Santos, N/A, N/A, USA</t>
        </is>
      </c>
      <c r="D4" s="8" t="n">
        <v>66998879</v>
      </c>
      <c r="E4" s="6" t="inlineStr">
        <is>
          <t>trevor@gta.com</t>
        </is>
      </c>
    </row>
    <row r="5" ht="22.5" customHeight="1">
      <c r="A5" s="9" t="n">
        <v>46172</v>
      </c>
      <c r="B5" s="10" t="inlineStr">
        <is>
          <t>Mike</t>
        </is>
      </c>
      <c r="C5" s="11" t="inlineStr">
        <is>
          <t>N/A, Los Santos, N/A, 40000, USA</t>
        </is>
      </c>
      <c r="D5" s="12" t="inlineStr">
        <is>
          <t>+188888</t>
        </is>
      </c>
      <c r="E5" s="10" t="inlineStr">
        <is>
          <t>mike@gmail.com</t>
        </is>
      </c>
    </row>
    <row r="6" ht="22.5" customHeight="1">
      <c r="A6" s="5" t="n">
        <v>46172</v>
      </c>
      <c r="B6" s="6" t="inlineStr">
        <is>
          <t>Mary</t>
        </is>
      </c>
      <c r="C6" s="7" t="inlineStr">
        <is>
          <t>N/A, Mueang, Chiang Mai, 50000, Thailand</t>
        </is>
      </c>
      <c r="D6" s="8" t="inlineStr">
        <is>
          <t>+6699999</t>
        </is>
      </c>
      <c r="E6" s="6" t="inlineStr">
        <is>
          <t>mary@gmail.com</t>
        </is>
      </c>
    </row>
    <row r="7" ht="22.5" customHeight="1">
      <c r="A7" s="9" t="n">
        <v>46172</v>
      </c>
      <c r="B7" s="10" t="inlineStr">
        <is>
          <t>Avril</t>
        </is>
      </c>
      <c r="C7" s="11" t="inlineStr">
        <is>
          <t>N/A, New York, NY, N/A, USA</t>
        </is>
      </c>
      <c r="D7" s="12" t="n">
        <v>66998882</v>
      </c>
      <c r="E7" s="10" t="inlineStr">
        <is>
          <t>avril@vistas.com</t>
        </is>
      </c>
    </row>
    <row r="8" ht="22.5" customHeight="1">
      <c r="A8" s="5" t="n">
        <v>46171</v>
      </c>
      <c r="B8" s="6" t="inlineStr">
        <is>
          <t>Justin Bieber</t>
        </is>
      </c>
      <c r="C8" s="7" t="inlineStr">
        <is>
          <t>100 Bay St, Toronto, ON, M5J 2N8, Canada</t>
        </is>
      </c>
      <c r="D8" s="8" t="n">
        <v>66998883</v>
      </c>
      <c r="E8" s="6" t="inlineStr">
        <is>
          <t>jbieber@music.com</t>
        </is>
      </c>
    </row>
    <row r="9" ht="22.5" customHeight="1">
      <c r="A9" s="9" t="n">
        <v>46170</v>
      </c>
      <c r="B9" s="10" t="inlineStr">
        <is>
          <t>AvrilLwin</t>
        </is>
      </c>
      <c r="C9" s="11" t="inlineStr">
        <is>
          <t>Huay Kaew Road, Mueang Chiang Mai, Chiang Mai, 50300, Thailand</t>
        </is>
      </c>
      <c r="D9" s="12" t="n">
        <v>66998884</v>
      </c>
      <c r="E9" s="10" t="inlineStr">
        <is>
          <t>lwin@vistas.com</t>
        </is>
      </c>
    </row>
    <row r="10" ht="22.5" customHeight="1">
      <c r="A10" s="5" t="n">
        <v>46170</v>
      </c>
      <c r="B10" s="6" t="inlineStr">
        <is>
          <t>Franklin</t>
        </is>
      </c>
      <c r="C10" s="7" t="inlineStr">
        <is>
          <t>N/A, N/A, N/A, N/A, USA</t>
        </is>
      </c>
      <c r="D10" s="8" t="n">
        <v>66998885</v>
      </c>
      <c r="E10" s="6" t="inlineStr">
        <is>
          <t>franklin@gta.com</t>
        </is>
      </c>
    </row>
    <row r="11" ht="22.5" customHeight="1">
      <c r="A11" s="9" t="n">
        <v>46170</v>
      </c>
      <c r="B11" s="10" t="inlineStr">
        <is>
          <t>Jeneffer</t>
        </is>
      </c>
      <c r="C11" s="11" t="inlineStr">
        <is>
          <t>N/A, N/A, N/A, N/A, USA</t>
        </is>
      </c>
      <c r="D11" s="12" t="n">
        <v>66998886</v>
      </c>
      <c r="E11" s="10" t="inlineStr">
        <is>
          <t>jeneffer@gmail.com</t>
        </is>
      </c>
    </row>
    <row r="12" ht="22.5" customHeight="1">
      <c r="A12" s="5" t="n">
        <v>46170</v>
      </c>
      <c r="B12" s="6" t="inlineStr">
        <is>
          <t>Michael Decenta</t>
        </is>
      </c>
      <c r="C12" s="7" t="inlineStr">
        <is>
          <t>N/A, Los Santos, N/A, N/A, USA</t>
        </is>
      </c>
      <c r="D12" s="8" t="n">
        <v>66998887</v>
      </c>
      <c r="E12" s="6" t="inlineStr">
        <is>
          <t>michael@decenta.com</t>
        </is>
      </c>
    </row>
    <row r="13" ht="12.75" customHeight="1">
      <c r="A13" s="13" t="n">
        <v>46175</v>
      </c>
      <c r="B13" s="14" t="inlineStr">
        <is>
          <t>Haily</t>
        </is>
      </c>
      <c r="C13" s="15" t="inlineStr">
        <is>
          <t>N/A, N/A, N/A, 4000, USA</t>
        </is>
      </c>
      <c r="D13" s="16" t="n">
        <v>66998888</v>
      </c>
      <c r="E13" s="14" t="inlineStr">
        <is>
          <t>None</t>
        </is>
      </c>
    </row>
  </sheetData>
  <dataValidations count="2">
    <dataValidation sqref="A2:A12" showDropDown="1" showInputMessage="0" showErrorMessage="0" allowBlank="1" type="custom">
      <formula1>OR(NOT(ISERROR(DATEVALUE(A2))), AND(ISNUMBER(A2), LEFT(CELL("format", A2))="D"))</formula1>
    </dataValidation>
    <dataValidation sqref="D2:D12" showDropDown="1" showInputMessage="0" showErrorMessage="0" allowBlank="1" type="custom">
      <formula1>AND(ISNUMBER(D2),(NOT(OR(NOT(ISERROR(DATEVALUE(D2))), AND(ISNUMBER(D2), LEFT(CELL("format", D2))="D")))))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" right="0.7" top="0.75" bottom="0.75" header="0.3" footer="0.3"/>
  <tableParts count="1"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42"/>
  <sheetViews>
    <sheetView workbookViewId="0">
      <selection activeCell="N28" sqref="N28"/>
    </sheetView>
  </sheetViews>
  <sheetFormatPr baseColWidth="8" defaultColWidth="12.5703125" defaultRowHeight="15.75" customHeight="1"/>
  <cols>
    <col width="17" bestFit="1" customWidth="1" min="1" max="1"/>
    <col width="28" bestFit="1" customWidth="1" min="2" max="2"/>
    <col width="11" bestFit="1" customWidth="1" min="3" max="3"/>
    <col width="18" bestFit="1" customWidth="1" min="4" max="4"/>
    <col width="16" bestFit="1" customWidth="1" min="5" max="6"/>
    <col width="13" bestFit="1" customWidth="1" min="7" max="7"/>
    <col width="17" bestFit="1" customWidth="1" min="8" max="8"/>
    <col width="15" bestFit="1" customWidth="1" min="9" max="9"/>
  </cols>
  <sheetData>
    <row r="1" ht="15.75" customFormat="1" customHeight="1" s="2">
      <c r="A1" s="4" t="inlineStr">
        <is>
          <t>Product ID</t>
        </is>
      </c>
      <c r="B1" s="4" t="inlineStr">
        <is>
          <t>Product Name</t>
        </is>
      </c>
      <c r="C1" s="4" t="inlineStr">
        <is>
          <t>Category</t>
        </is>
      </c>
      <c r="D1" s="4" t="inlineStr">
        <is>
          <t>Price (USD/THB)</t>
        </is>
      </c>
      <c r="E1" s="4" t="inlineStr">
        <is>
          <t>Color Variant</t>
        </is>
      </c>
      <c r="F1" s="4" t="inlineStr">
        <is>
          <t>Current Stock</t>
        </is>
      </c>
      <c r="G1" s="4" t="inlineStr">
        <is>
          <t>Units Sold</t>
        </is>
      </c>
      <c r="H1" s="4" t="inlineStr">
        <is>
          <t>Original Stock</t>
        </is>
      </c>
      <c r="I1" s="4" t="inlineStr">
        <is>
          <t>Status</t>
        </is>
      </c>
    </row>
    <row r="2" ht="12.75" customHeight="1">
      <c r="A2" s="17" t="inlineStr">
        <is>
          <t>PROD-011</t>
        </is>
      </c>
      <c r="B2" s="6" t="inlineStr">
        <is>
          <t>Cozy Oversized Hoodie</t>
        </is>
      </c>
      <c r="C2" s="6" t="inlineStr">
        <is>
          <t>Apparel</t>
        </is>
      </c>
      <c r="D2" s="6" t="inlineStr">
        <is>
          <t>$50 / 1,700 THB</t>
        </is>
      </c>
      <c r="E2" s="6" t="inlineStr">
        <is>
          <t>Black</t>
        </is>
      </c>
      <c r="F2" s="18">
        <f>IF(E2="", IF(A2="", "", SUM(OFFSET(F2, -4, 0, 4, 1))), H2-G2)</f>
        <v/>
      </c>
      <c r="G2" s="18">
        <f>IF(E2="", IF(A2="", "", SUM(OFFSET(G2, -4, 0, 4, 1))), SUMIFS('Daily Sales'!$G:$G, 'Daily Sales'!$B:$B, A2, 'Daily Sales'!$K:$K, E2))</f>
        <v/>
      </c>
      <c r="H2" s="8" t="n">
        <v>50</v>
      </c>
      <c r="I2" s="17" t="n"/>
    </row>
    <row r="3" ht="12.75" customHeight="1">
      <c r="A3" s="19" t="inlineStr">
        <is>
          <t>PROD-011</t>
        </is>
      </c>
      <c r="B3" s="10" t="inlineStr">
        <is>
          <t>Cozy Oversized Hoodie</t>
        </is>
      </c>
      <c r="C3" s="10" t="inlineStr">
        <is>
          <t>Apparel</t>
        </is>
      </c>
      <c r="D3" s="10" t="inlineStr">
        <is>
          <t>$50 / 1,700 THB</t>
        </is>
      </c>
      <c r="E3" s="10" t="inlineStr">
        <is>
          <t>Red</t>
        </is>
      </c>
      <c r="F3" s="20">
        <f>IF(E3="", IF(A3="", "", SUM(OFFSET(F3, -4, 0, 4, 1))), H3-G3)</f>
        <v/>
      </c>
      <c r="G3" s="20">
        <f>IF(E3="", IF(A3="", "", SUM(OFFSET(G3, -4, 0, 4, 1))), SUMIFS('Daily Sales'!$G:$G, 'Daily Sales'!$B:$B, A3, 'Daily Sales'!$K:$K, E3))</f>
        <v/>
      </c>
      <c r="H3" s="12" t="n">
        <v>50</v>
      </c>
      <c r="I3" s="19" t="n"/>
    </row>
    <row r="4" ht="12.75" customHeight="1">
      <c r="A4" s="17" t="inlineStr">
        <is>
          <t>PROD-011</t>
        </is>
      </c>
      <c r="B4" s="6" t="inlineStr">
        <is>
          <t>Cozy Oversized Hoodie</t>
        </is>
      </c>
      <c r="C4" s="6" t="inlineStr">
        <is>
          <t>Apparel</t>
        </is>
      </c>
      <c r="D4" s="6" t="inlineStr">
        <is>
          <t>$50 / 1,700 THB</t>
        </is>
      </c>
      <c r="E4" s="6" t="inlineStr">
        <is>
          <t>Green</t>
        </is>
      </c>
      <c r="F4" s="18">
        <f>IF(E4="", IF(A4="", "", SUM(OFFSET(F4, -4, 0, 4, 1))), H4-G4)</f>
        <v/>
      </c>
      <c r="G4" s="18">
        <f>IF(E4="", IF(A4="", "", SUM(OFFSET(G4, -4, 0, 4, 1))), SUMIFS('Daily Sales'!$G:$G, 'Daily Sales'!$B:$B, A4, 'Daily Sales'!$K:$K, E4))</f>
        <v/>
      </c>
      <c r="H4" s="8" t="n">
        <v>50</v>
      </c>
      <c r="I4" s="17" t="n"/>
    </row>
    <row r="5" ht="12.75" customHeight="1">
      <c r="A5" s="19" t="inlineStr">
        <is>
          <t>PROD-011</t>
        </is>
      </c>
      <c r="B5" s="10" t="inlineStr">
        <is>
          <t>Cozy Oversized Hoodie</t>
        </is>
      </c>
      <c r="C5" s="10" t="inlineStr">
        <is>
          <t>Apparel</t>
        </is>
      </c>
      <c r="D5" s="10" t="inlineStr">
        <is>
          <t>$50 / 1,700 THB</t>
        </is>
      </c>
      <c r="E5" s="10" t="inlineStr">
        <is>
          <t>Dark Blue</t>
        </is>
      </c>
      <c r="F5" s="20">
        <f>IF(E5="", IF(A5="", "", SUM(OFFSET(F5, -4, 0, 4, 1))), H5-G5)</f>
        <v/>
      </c>
      <c r="G5" s="20">
        <f>IF(E5="", IF(A5="", "", SUM(OFFSET(G5, -4, 0, 4, 1))), SUMIFS('Daily Sales'!$G:$G, 'Daily Sales'!$B:$B, A5, 'Daily Sales'!$K:$K, E5))</f>
        <v/>
      </c>
      <c r="H5" s="12" t="n">
        <v>50</v>
      </c>
      <c r="I5" s="19" t="n"/>
    </row>
    <row r="6" ht="12.75" customHeight="1">
      <c r="A6" s="21" t="inlineStr">
        <is>
          <t>PROD-011 Total</t>
        </is>
      </c>
      <c r="B6" s="22" t="n"/>
      <c r="C6" s="22" t="n"/>
      <c r="D6" s="22" t="n"/>
      <c r="E6" s="22" t="n"/>
      <c r="F6" s="23">
        <f>IF(E6="", IF(A6="", "", SUM(OFFSET(F6, -4, 0, 4, 1))), H6-G6)</f>
        <v/>
      </c>
      <c r="G6" s="23">
        <f>IF(E6="", IF(A6="", "", SUM(OFFSET(G6, -4, 0, 4, 1))), SUMIFS('Daily Sales'!$G:$G, 'Daily Sales'!$B:$B, A6, 'Daily Sales'!$K:$K, E6))</f>
        <v/>
      </c>
      <c r="H6" s="23">
        <f>SUM(H2:H5)</f>
        <v/>
      </c>
      <c r="I6" s="21" t="inlineStr">
        <is>
          <t>⚠️ Low Stock</t>
        </is>
      </c>
    </row>
    <row r="7" ht="12.75" customHeight="1">
      <c r="A7" s="19" t="inlineStr">
        <is>
          <t>PROD-007</t>
        </is>
      </c>
      <c r="B7" s="10" t="inlineStr">
        <is>
          <t>Racing Edition Polo Shirt</t>
        </is>
      </c>
      <c r="C7" s="10" t="inlineStr">
        <is>
          <t>Apparel</t>
        </is>
      </c>
      <c r="D7" s="10" t="inlineStr">
        <is>
          <t>$45 / 1,550 THB</t>
        </is>
      </c>
      <c r="E7" s="10" t="inlineStr">
        <is>
          <t>Black</t>
        </is>
      </c>
      <c r="F7" s="20">
        <f>IF(E7="", IF(A7="", "", SUM(OFFSET(F7, -4, 0, 4, 1))), H7-G7)</f>
        <v/>
      </c>
      <c r="G7" s="20">
        <f>IF(E7="", IF(A7="", "", SUM(OFFSET(G7, -4, 0, 4, 1))), SUMIFS('Daily Sales'!$G:$G, 'Daily Sales'!$B:$B, A7, 'Daily Sales'!$K:$K, E7))</f>
        <v/>
      </c>
      <c r="H7" s="12" t="n">
        <v>50</v>
      </c>
      <c r="I7" s="19" t="n"/>
    </row>
    <row r="8" ht="12.75" customHeight="1">
      <c r="A8" s="17" t="inlineStr">
        <is>
          <t>PROD-007</t>
        </is>
      </c>
      <c r="B8" s="6" t="inlineStr">
        <is>
          <t>Racing Edition Polo Shirt</t>
        </is>
      </c>
      <c r="C8" s="6" t="inlineStr">
        <is>
          <t>Apparel</t>
        </is>
      </c>
      <c r="D8" s="6" t="inlineStr">
        <is>
          <t>$45 / 1,550 THB</t>
        </is>
      </c>
      <c r="E8" s="6" t="inlineStr">
        <is>
          <t>Red</t>
        </is>
      </c>
      <c r="F8" s="18">
        <f>IF(E8="", IF(A8="", "", SUM(OFFSET(F8, -4, 0, 4, 1))), H8-G8)</f>
        <v/>
      </c>
      <c r="G8" s="18">
        <f>IF(E8="", IF(A8="", "", SUM(OFFSET(G8, -4, 0, 4, 1))), SUMIFS('Daily Sales'!$G:$G, 'Daily Sales'!$B:$B, A8, 'Daily Sales'!$K:$K, E8))</f>
        <v/>
      </c>
      <c r="H8" s="8" t="n">
        <v>50</v>
      </c>
      <c r="I8" s="17" t="n"/>
    </row>
    <row r="9" ht="12.75" customHeight="1">
      <c r="A9" s="19" t="inlineStr">
        <is>
          <t>PROD-007</t>
        </is>
      </c>
      <c r="B9" s="10" t="inlineStr">
        <is>
          <t>Racing Edition Polo Shirt</t>
        </is>
      </c>
      <c r="C9" s="10" t="inlineStr">
        <is>
          <t>Apparel</t>
        </is>
      </c>
      <c r="D9" s="10" t="inlineStr">
        <is>
          <t>$45 / 1,550 THB</t>
        </is>
      </c>
      <c r="E9" s="10" t="inlineStr">
        <is>
          <t>Green</t>
        </is>
      </c>
      <c r="F9" s="20">
        <f>IF(E9="", IF(A9="", "", SUM(OFFSET(F9, -4, 0, 4, 1))), H9-G9)</f>
        <v/>
      </c>
      <c r="G9" s="20">
        <f>IF(E9="", IF(A9="", "", SUM(OFFSET(G9, -4, 0, 4, 1))), SUMIFS('Daily Sales'!$G:$G, 'Daily Sales'!$B:$B, A9, 'Daily Sales'!$K:$K, E9))</f>
        <v/>
      </c>
      <c r="H9" s="12" t="n">
        <v>50</v>
      </c>
      <c r="I9" s="19" t="n"/>
    </row>
    <row r="10" ht="12.75" customHeight="1">
      <c r="A10" s="17" t="inlineStr">
        <is>
          <t>PROD-007</t>
        </is>
      </c>
      <c r="B10" s="6" t="inlineStr">
        <is>
          <t>Racing Edition Polo Shirt</t>
        </is>
      </c>
      <c r="C10" s="6" t="inlineStr">
        <is>
          <t>Apparel</t>
        </is>
      </c>
      <c r="D10" s="6" t="inlineStr">
        <is>
          <t>$45 / 1,550 THB</t>
        </is>
      </c>
      <c r="E10" s="6" t="inlineStr">
        <is>
          <t>Dark Blue</t>
        </is>
      </c>
      <c r="F10" s="18">
        <f>IF(E10="", IF(A10="", "", SUM(OFFSET(F10, -4, 0, 4, 1))), H10-G10)</f>
        <v/>
      </c>
      <c r="G10" s="18">
        <f>IF(E10="", IF(A10="", "", SUM(OFFSET(G10, -4, 0, 4, 1))), SUMIFS('Daily Sales'!$G:$G, 'Daily Sales'!$B:$B, A10, 'Daily Sales'!$K:$K, E10))</f>
        <v/>
      </c>
      <c r="H10" s="8" t="n">
        <v>50</v>
      </c>
      <c r="I10" s="17" t="n"/>
    </row>
    <row r="11" ht="12.75" customHeight="1">
      <c r="A11" s="21" t="inlineStr">
        <is>
          <t>PROD-007 Total</t>
        </is>
      </c>
      <c r="B11" s="22" t="n"/>
      <c r="C11" s="22" t="n"/>
      <c r="D11" s="22" t="n"/>
      <c r="E11" s="22" t="n"/>
      <c r="F11" s="23">
        <f>IF(E11="", IF(A11="", "", SUM(OFFSET(F11, -4, 0, 4, 1))), H11-G11)</f>
        <v/>
      </c>
      <c r="G11" s="23">
        <f>IF(E11="", IF(A11="", "", SUM(OFFSET(G11, -4, 0, 4, 1))), SUMIFS('Daily Sales'!$G:$G, 'Daily Sales'!$B:$B, A11, 'Daily Sales'!$K:$K, E11))</f>
        <v/>
      </c>
      <c r="H11" s="23">
        <f>SUM(H7:H10)</f>
        <v/>
      </c>
      <c r="I11" s="21" t="inlineStr">
        <is>
          <t>🟢 Healthy</t>
        </is>
      </c>
    </row>
    <row r="12" ht="12.75" customHeight="1">
      <c r="A12" s="17" t="inlineStr">
        <is>
          <t>PROD-010</t>
        </is>
      </c>
      <c r="B12" s="6" t="inlineStr">
        <is>
          <t>Premium Minimalist Tee</t>
        </is>
      </c>
      <c r="C12" s="6" t="inlineStr">
        <is>
          <t>Apparel</t>
        </is>
      </c>
      <c r="D12" s="6" t="inlineStr">
        <is>
          <t>$25 / 850 THB</t>
        </is>
      </c>
      <c r="E12" s="6" t="inlineStr">
        <is>
          <t>Black</t>
        </is>
      </c>
      <c r="F12" s="18">
        <f>IF(E12="", IF(A12="", "", SUM(OFFSET(F12, -4, 0, 4, 1))), H12-G12)</f>
        <v/>
      </c>
      <c r="G12" s="18">
        <f>IF(E12="", IF(A12="", "", SUM(OFFSET(G12, -4, 0, 4, 1))), SUMIFS('Daily Sales'!$G:$G, 'Daily Sales'!$B:$B, A12, 'Daily Sales'!$K:$K, E12))</f>
        <v/>
      </c>
      <c r="H12" s="8" t="n">
        <v>50</v>
      </c>
      <c r="I12" s="17" t="n"/>
    </row>
    <row r="13" ht="12.75" customHeight="1">
      <c r="A13" s="19" t="inlineStr">
        <is>
          <t>PROD-010</t>
        </is>
      </c>
      <c r="B13" s="10" t="inlineStr">
        <is>
          <t>Premium Minimalist Tee</t>
        </is>
      </c>
      <c r="C13" s="10" t="inlineStr">
        <is>
          <t>Apparel</t>
        </is>
      </c>
      <c r="D13" s="10" t="inlineStr">
        <is>
          <t>$25 / 850 THB</t>
        </is>
      </c>
      <c r="E13" s="10" t="inlineStr">
        <is>
          <t>Red</t>
        </is>
      </c>
      <c r="F13" s="20">
        <f>IF(E13="", IF(A13="", "", SUM(OFFSET(F13, -4, 0, 4, 1))), H13-G13)</f>
        <v/>
      </c>
      <c r="G13" s="20">
        <f>IF(E13="", IF(A13="", "", SUM(OFFSET(G13, -4, 0, 4, 1))), SUMIFS('Daily Sales'!$G:$G, 'Daily Sales'!$B:$B, A13, 'Daily Sales'!$K:$K, E13))</f>
        <v/>
      </c>
      <c r="H13" s="12" t="n">
        <v>50</v>
      </c>
      <c r="I13" s="19" t="n"/>
    </row>
    <row r="14" ht="12.75" customHeight="1">
      <c r="A14" s="17" t="inlineStr">
        <is>
          <t>PROD-010</t>
        </is>
      </c>
      <c r="B14" s="6" t="inlineStr">
        <is>
          <t>Premium Minimalist Tee</t>
        </is>
      </c>
      <c r="C14" s="6" t="inlineStr">
        <is>
          <t>Apparel</t>
        </is>
      </c>
      <c r="D14" s="6" t="inlineStr">
        <is>
          <t>$25 / 850 THB</t>
        </is>
      </c>
      <c r="E14" s="6" t="inlineStr">
        <is>
          <t>Green</t>
        </is>
      </c>
      <c r="F14" s="18">
        <f>IF(E14="", IF(A14="", "", SUM(OFFSET(F14, -4, 0, 4, 1))), H14-G14)</f>
        <v/>
      </c>
      <c r="G14" s="18">
        <f>IF(E14="", IF(A14="", "", SUM(OFFSET(G14, -4, 0, 4, 1))), SUMIFS('Daily Sales'!$G:$G, 'Daily Sales'!$B:$B, A14, 'Daily Sales'!$K:$K, E14))</f>
        <v/>
      </c>
      <c r="H14" s="8" t="n">
        <v>50</v>
      </c>
      <c r="I14" s="17" t="n"/>
    </row>
    <row r="15" ht="12.75" customHeight="1">
      <c r="A15" s="19" t="inlineStr">
        <is>
          <t>PROD-010</t>
        </is>
      </c>
      <c r="B15" s="10" t="inlineStr">
        <is>
          <t>Premium Minimalist Tee</t>
        </is>
      </c>
      <c r="C15" s="10" t="inlineStr">
        <is>
          <t>Apparel</t>
        </is>
      </c>
      <c r="D15" s="10" t="inlineStr">
        <is>
          <t>$25 / 850 THB</t>
        </is>
      </c>
      <c r="E15" s="10" t="inlineStr">
        <is>
          <t>Dark Blue</t>
        </is>
      </c>
      <c r="F15" s="20">
        <f>IF(E15="", IF(A15="", "", SUM(OFFSET(F15, -4, 0, 4, 1))), H15-G15)</f>
        <v/>
      </c>
      <c r="G15" s="20">
        <f>IF(E15="", IF(A15="", "", SUM(OFFSET(G15, -4, 0, 4, 1))), SUMIFS('Daily Sales'!$G:$G, 'Daily Sales'!$B:$B, A15, 'Daily Sales'!$K:$K, E15))</f>
        <v/>
      </c>
      <c r="H15" s="12" t="n">
        <v>50</v>
      </c>
      <c r="I15" s="19" t="n"/>
    </row>
    <row r="16" ht="12.75" customHeight="1">
      <c r="A16" s="21" t="inlineStr">
        <is>
          <t>PROD-010 Total</t>
        </is>
      </c>
      <c r="B16" s="22" t="n"/>
      <c r="C16" s="22" t="n"/>
      <c r="D16" s="22" t="n"/>
      <c r="E16" s="22" t="n"/>
      <c r="F16" s="23">
        <f>IF(E16="", IF(A16="", "", SUM(OFFSET(F16, -4, 0, 4, 1))), H16-G16)</f>
        <v/>
      </c>
      <c r="G16" s="23">
        <f>IF(E16="", IF(A16="", "", SUM(OFFSET(G16, -4, 0, 4, 1))), SUMIFS('Daily Sales'!$G:$G, 'Daily Sales'!$B:$B, A16, 'Daily Sales'!$K:$K, E16))</f>
        <v/>
      </c>
      <c r="H16" s="23">
        <f>SUM(H12:H15)</f>
        <v/>
      </c>
      <c r="I16" s="21" t="inlineStr">
        <is>
          <t>🟢 Healthy</t>
        </is>
      </c>
    </row>
    <row r="17" ht="12.75" customHeight="1">
      <c r="A17" s="19" t="inlineStr">
        <is>
          <t>PROD-006</t>
        </is>
      </c>
      <c r="B17" s="10" t="inlineStr">
        <is>
          <t>Active Dry-Fit T-Shirt</t>
        </is>
      </c>
      <c r="C17" s="10" t="inlineStr">
        <is>
          <t>Apparel</t>
        </is>
      </c>
      <c r="D17" s="10" t="inlineStr">
        <is>
          <t>$30 / 1,000 THB</t>
        </is>
      </c>
      <c r="E17" s="10" t="inlineStr">
        <is>
          <t>Black</t>
        </is>
      </c>
      <c r="F17" s="20">
        <f>IF(E17="", IF(A17="", "", SUM(OFFSET(F17, -4, 0, 4, 1))), H17-G17)</f>
        <v/>
      </c>
      <c r="G17" s="20">
        <f>IF(E17="", IF(A17="", "", SUM(OFFSET(G17, -4, 0, 4, 1))), SUMIFS('Daily Sales'!$G:$G, 'Daily Sales'!$B:$B, A17, 'Daily Sales'!$K:$K, E17))</f>
        <v/>
      </c>
      <c r="H17" s="12" t="n">
        <v>50</v>
      </c>
      <c r="I17" s="19" t="n"/>
    </row>
    <row r="18" ht="12.75" customHeight="1">
      <c r="A18" s="17" t="inlineStr">
        <is>
          <t>PROD-006</t>
        </is>
      </c>
      <c r="B18" s="6" t="inlineStr">
        <is>
          <t>Active Dry-Fit T-Shirt</t>
        </is>
      </c>
      <c r="C18" s="6" t="inlineStr">
        <is>
          <t>Apparel</t>
        </is>
      </c>
      <c r="D18" s="6" t="inlineStr">
        <is>
          <t>$30 / 1,000 THB</t>
        </is>
      </c>
      <c r="E18" s="6" t="inlineStr">
        <is>
          <t>Red</t>
        </is>
      </c>
      <c r="F18" s="18">
        <f>IF(E18="", IF(A18="", "", SUM(OFFSET(F18, -4, 0, 4, 1))), H18-G18)</f>
        <v/>
      </c>
      <c r="G18" s="18">
        <f>IF(E18="", IF(A18="", "", SUM(OFFSET(G18, -4, 0, 4, 1))), SUMIFS('Daily Sales'!$G:$G, 'Daily Sales'!$B:$B, A18, 'Daily Sales'!$K:$K, E18))</f>
        <v/>
      </c>
      <c r="H18" s="8" t="n">
        <v>50</v>
      </c>
      <c r="I18" s="17" t="n"/>
    </row>
    <row r="19" ht="12.75" customHeight="1">
      <c r="A19" s="19" t="inlineStr">
        <is>
          <t>PROD-006</t>
        </is>
      </c>
      <c r="B19" s="10" t="inlineStr">
        <is>
          <t>Active Dry-Fit T-Shirt</t>
        </is>
      </c>
      <c r="C19" s="10" t="inlineStr">
        <is>
          <t>Apparel</t>
        </is>
      </c>
      <c r="D19" s="10" t="inlineStr">
        <is>
          <t>$30 / 1,000 THB</t>
        </is>
      </c>
      <c r="E19" s="10" t="inlineStr">
        <is>
          <t>Green</t>
        </is>
      </c>
      <c r="F19" s="20">
        <f>IF(E19="", IF(A19="", "", SUM(OFFSET(F19, -4, 0, 4, 1))), H19-G19)</f>
        <v/>
      </c>
      <c r="G19" s="20">
        <f>IF(E19="", IF(A19="", "", SUM(OFFSET(G19, -4, 0, 4, 1))), SUMIFS('Daily Sales'!$G:$G, 'Daily Sales'!$B:$B, A19, 'Daily Sales'!$K:$K, E19))</f>
        <v/>
      </c>
      <c r="H19" s="12" t="n">
        <v>50</v>
      </c>
      <c r="I19" s="19" t="n"/>
    </row>
    <row r="20" ht="12.75" customHeight="1">
      <c r="A20" s="17" t="inlineStr">
        <is>
          <t>PROD-006</t>
        </is>
      </c>
      <c r="B20" s="6" t="inlineStr">
        <is>
          <t>Active Dry-Fit T-Shirt</t>
        </is>
      </c>
      <c r="C20" s="6" t="inlineStr">
        <is>
          <t>Apparel</t>
        </is>
      </c>
      <c r="D20" s="6" t="inlineStr">
        <is>
          <t>$30 / 1,000 THB</t>
        </is>
      </c>
      <c r="E20" s="6" t="inlineStr">
        <is>
          <t>Dark Blue</t>
        </is>
      </c>
      <c r="F20" s="18">
        <f>IF(E20="", IF(A20="", "", SUM(OFFSET(F20, -4, 0, 4, 1))), H20-G20)</f>
        <v/>
      </c>
      <c r="G20" s="18">
        <f>IF(E20="", IF(A20="", "", SUM(OFFSET(G20, -4, 0, 4, 1))), SUMIFS('Daily Sales'!$G:$G, 'Daily Sales'!$B:$B, A20, 'Daily Sales'!$K:$K, E20))</f>
        <v/>
      </c>
      <c r="H20" s="8" t="n">
        <v>50</v>
      </c>
      <c r="I20" s="17" t="n"/>
    </row>
    <row r="21" ht="12.75" customHeight="1">
      <c r="A21" s="21" t="inlineStr">
        <is>
          <t>PROD-006 Total</t>
        </is>
      </c>
      <c r="B21" s="22" t="n"/>
      <c r="C21" s="22" t="n"/>
      <c r="D21" s="22" t="n"/>
      <c r="E21" s="22" t="n"/>
      <c r="F21" s="23">
        <f>IF(E21="", IF(A21="", "", SUM(OFFSET(F21, -4, 0, 4, 1))), H21-G21)</f>
        <v/>
      </c>
      <c r="G21" s="23">
        <f>IF(E21="", IF(A21="", "", SUM(OFFSET(G21, -4, 0, 4, 1))), SUMIFS('Daily Sales'!$G:$G, 'Daily Sales'!$B:$B, A21, 'Daily Sales'!$K:$K, E21))</f>
        <v/>
      </c>
      <c r="H21" s="23">
        <f>SUM(H17:H20)</f>
        <v/>
      </c>
      <c r="I21" s="21" t="inlineStr">
        <is>
          <t>🟢 Healthy</t>
        </is>
      </c>
    </row>
    <row r="22" ht="12.75" customHeight="1">
      <c r="A22" s="17" t="inlineStr">
        <is>
          <t>PROD-005</t>
        </is>
      </c>
      <c r="B22" s="6" t="inlineStr">
        <is>
          <t>Classic Flare Skirt</t>
        </is>
      </c>
      <c r="C22" s="6" t="inlineStr">
        <is>
          <t>Apparel</t>
        </is>
      </c>
      <c r="D22" s="6" t="inlineStr">
        <is>
          <t>$28 / 950 THB</t>
        </is>
      </c>
      <c r="E22" s="6" t="inlineStr">
        <is>
          <t>Black</t>
        </is>
      </c>
      <c r="F22" s="18">
        <f>IF(E22="", IF(A22="", "", SUM(OFFSET(F22, -4, 0, 4, 1))), H22-G22)</f>
        <v/>
      </c>
      <c r="G22" s="18">
        <f>IF(E22="", IF(A22="", "", SUM(OFFSET(G22, -4, 0, 4, 1))), SUMIFS('Daily Sales'!$G:$G, 'Daily Sales'!$B:$B, A22, 'Daily Sales'!$K:$K, E22))</f>
        <v/>
      </c>
      <c r="H22" s="8" t="n">
        <v>50</v>
      </c>
      <c r="I22" s="17" t="n"/>
    </row>
    <row r="23" ht="12.75" customHeight="1">
      <c r="A23" s="19" t="inlineStr">
        <is>
          <t>PROD-005</t>
        </is>
      </c>
      <c r="B23" s="10" t="inlineStr">
        <is>
          <t>Classic Flare Skirt</t>
        </is>
      </c>
      <c r="C23" s="10" t="inlineStr">
        <is>
          <t>Apparel</t>
        </is>
      </c>
      <c r="D23" s="10" t="inlineStr">
        <is>
          <t>$28 / 950 THB</t>
        </is>
      </c>
      <c r="E23" s="10" t="inlineStr">
        <is>
          <t>Red</t>
        </is>
      </c>
      <c r="F23" s="20">
        <f>IF(E23="", IF(A23="", "", SUM(OFFSET(F23, -4, 0, 4, 1))), H23-G23)</f>
        <v/>
      </c>
      <c r="G23" s="20">
        <f>IF(E23="", IF(A23="", "", SUM(OFFSET(G23, -4, 0, 4, 1))), SUMIFS('Daily Sales'!$G:$G, 'Daily Sales'!$B:$B, A23, 'Daily Sales'!$K:$K, E23))</f>
        <v/>
      </c>
      <c r="H23" s="12" t="n">
        <v>50</v>
      </c>
      <c r="I23" s="19" t="n"/>
    </row>
    <row r="24" ht="12.75" customHeight="1">
      <c r="A24" s="17" t="inlineStr">
        <is>
          <t>PROD-005</t>
        </is>
      </c>
      <c r="B24" s="6" t="inlineStr">
        <is>
          <t>Classic Flare Skirt</t>
        </is>
      </c>
      <c r="C24" s="6" t="inlineStr">
        <is>
          <t>Apparel</t>
        </is>
      </c>
      <c r="D24" s="6" t="inlineStr">
        <is>
          <t>$28 / 950 THB</t>
        </is>
      </c>
      <c r="E24" s="6" t="inlineStr">
        <is>
          <t>Green</t>
        </is>
      </c>
      <c r="F24" s="18">
        <f>IF(E24="", IF(A24="", "", SUM(OFFSET(F24, -4, 0, 4, 1))), H24-G24)</f>
        <v/>
      </c>
      <c r="G24" s="18">
        <f>IF(E24="", IF(A24="", "", SUM(OFFSET(G24, -4, 0, 4, 1))), SUMIFS('Daily Sales'!$G:$G, 'Daily Sales'!$B:$B, A24, 'Daily Sales'!$K:$K, E24))</f>
        <v/>
      </c>
      <c r="H24" s="8" t="n">
        <v>50</v>
      </c>
      <c r="I24" s="17" t="n"/>
    </row>
    <row r="25" ht="12.75" customHeight="1">
      <c r="A25" s="19" t="inlineStr">
        <is>
          <t>PROD-005</t>
        </is>
      </c>
      <c r="B25" s="10" t="inlineStr">
        <is>
          <t>Classic Flare Skirt</t>
        </is>
      </c>
      <c r="C25" s="10" t="inlineStr">
        <is>
          <t>Apparel</t>
        </is>
      </c>
      <c r="D25" s="10" t="inlineStr">
        <is>
          <t>$28 / 950 THB</t>
        </is>
      </c>
      <c r="E25" s="10" t="inlineStr">
        <is>
          <t>Dark Blue</t>
        </is>
      </c>
      <c r="F25" s="20">
        <f>IF(E25="", IF(A25="", "", SUM(OFFSET(F25, -4, 0, 4, 1))), H25-G25)</f>
        <v/>
      </c>
      <c r="G25" s="20">
        <f>IF(E25="", IF(A25="", "", SUM(OFFSET(G25, -4, 0, 4, 1))), SUMIFS('Daily Sales'!$G:$G, 'Daily Sales'!$B:$B, A25, 'Daily Sales'!$K:$K, E25))</f>
        <v/>
      </c>
      <c r="H25" s="12" t="n">
        <v>50</v>
      </c>
      <c r="I25" s="19" t="n"/>
    </row>
    <row r="26" ht="12.75" customHeight="1">
      <c r="A26" s="21" t="inlineStr">
        <is>
          <t>PROD-005 Total</t>
        </is>
      </c>
      <c r="B26" s="22" t="n"/>
      <c r="C26" s="22" t="n"/>
      <c r="D26" s="22" t="n"/>
      <c r="E26" s="22" t="n"/>
      <c r="F26" s="23">
        <f>IF(E26="", IF(A26="", "", SUM(OFFSET(F26, -4, 0, 4, 1))), H26-G26)</f>
        <v/>
      </c>
      <c r="G26" s="23">
        <f>IF(E26="", IF(A26="", "", SUM(OFFSET(G26, -4, 0, 4, 1))), SUMIFS('Daily Sales'!$G:$G, 'Daily Sales'!$B:$B, A26, 'Daily Sales'!$K:$K, E26))</f>
        <v/>
      </c>
      <c r="H26" s="23">
        <f>SUM(H22:H25)</f>
        <v/>
      </c>
      <c r="I26" s="21" t="inlineStr">
        <is>
          <t>🟢 Healthy</t>
        </is>
      </c>
    </row>
    <row r="27" ht="12.75" customHeight="1">
      <c r="A27" s="19" t="inlineStr">
        <is>
          <t>PROD-008</t>
        </is>
      </c>
      <c r="B27" s="10" t="inlineStr">
        <is>
          <t>Classic Camp Collar Shirt</t>
        </is>
      </c>
      <c r="C27" s="10" t="inlineStr">
        <is>
          <t>Apparel</t>
        </is>
      </c>
      <c r="D27" s="10" t="inlineStr">
        <is>
          <t>$40 / 1,350 THB</t>
        </is>
      </c>
      <c r="E27" s="10" t="inlineStr">
        <is>
          <t>Black</t>
        </is>
      </c>
      <c r="F27" s="20">
        <f>IF(E27="", IF(A27="", "", SUM(OFFSET(F27, -4, 0, 4, 1))), H27-G27)</f>
        <v/>
      </c>
      <c r="G27" s="20">
        <f>IF(E27="", IF(A27="", "", SUM(OFFSET(G27, -4, 0, 4, 1))), SUMIFS('Daily Sales'!$G:$G, 'Daily Sales'!$B:$B, A27, 'Daily Sales'!$K:$K, E27))</f>
        <v/>
      </c>
      <c r="H27" s="12" t="n">
        <v>50</v>
      </c>
      <c r="I27" s="19" t="n"/>
    </row>
    <row r="28" ht="12.75" customHeight="1">
      <c r="A28" s="17" t="inlineStr">
        <is>
          <t>PROD-008</t>
        </is>
      </c>
      <c r="B28" s="6" t="inlineStr">
        <is>
          <t>Classic Camp Collar Shirt</t>
        </is>
      </c>
      <c r="C28" s="6" t="inlineStr">
        <is>
          <t>Apparel</t>
        </is>
      </c>
      <c r="D28" s="6" t="inlineStr">
        <is>
          <t>$40 / 1,350 THB</t>
        </is>
      </c>
      <c r="E28" s="6" t="inlineStr">
        <is>
          <t>Red</t>
        </is>
      </c>
      <c r="F28" s="18">
        <f>IF(E28="", IF(A28="", "", SUM(OFFSET(F28, -4, 0, 4, 1))), H28-G28)</f>
        <v/>
      </c>
      <c r="G28" s="18">
        <f>IF(E28="", IF(A28="", "", SUM(OFFSET(G28, -4, 0, 4, 1))), SUMIFS('Daily Sales'!$G:$G, 'Daily Sales'!$B:$B, A28, 'Daily Sales'!$K:$K, E28))</f>
        <v/>
      </c>
      <c r="H28" s="8" t="n">
        <v>50</v>
      </c>
      <c r="I28" s="17" t="n"/>
    </row>
    <row r="29" ht="12.75" customHeight="1">
      <c r="A29" s="19" t="inlineStr">
        <is>
          <t>PROD-008</t>
        </is>
      </c>
      <c r="B29" s="10" t="inlineStr">
        <is>
          <t>Classic Camp Collar Shirt</t>
        </is>
      </c>
      <c r="C29" s="10" t="inlineStr">
        <is>
          <t>Apparel</t>
        </is>
      </c>
      <c r="D29" s="10" t="inlineStr">
        <is>
          <t>$40 / 1,350 THB</t>
        </is>
      </c>
      <c r="E29" s="10" t="inlineStr">
        <is>
          <t>Green</t>
        </is>
      </c>
      <c r="F29" s="20">
        <f>IF(E29="", IF(A29="", "", SUM(OFFSET(F29, -4, 0, 4, 1))), H29-G29)</f>
        <v/>
      </c>
      <c r="G29" s="20">
        <f>IF(E29="", IF(A29="", "", SUM(OFFSET(G29, -4, 0, 4, 1))), SUMIFS('Daily Sales'!$G:$G, 'Daily Sales'!$B:$B, A29, 'Daily Sales'!$K:$K, E29))</f>
        <v/>
      </c>
      <c r="H29" s="12" t="n">
        <v>50</v>
      </c>
      <c r="I29" s="19" t="n"/>
    </row>
    <row r="30" ht="12.75" customHeight="1">
      <c r="A30" s="17" t="inlineStr">
        <is>
          <t>PROD-008</t>
        </is>
      </c>
      <c r="B30" s="6" t="inlineStr">
        <is>
          <t>Classic Camp Collar Shirt</t>
        </is>
      </c>
      <c r="C30" s="6" t="inlineStr">
        <is>
          <t>Apparel</t>
        </is>
      </c>
      <c r="D30" s="6" t="inlineStr">
        <is>
          <t>$40 / 1,350 THB</t>
        </is>
      </c>
      <c r="E30" s="6" t="inlineStr">
        <is>
          <t>Dark Blue</t>
        </is>
      </c>
      <c r="F30" s="18">
        <f>IF(E30="", IF(A30="", "", SUM(OFFSET(F30, -4, 0, 4, 1))), H30-G30)</f>
        <v/>
      </c>
      <c r="G30" s="18">
        <f>IF(E30="", IF(A30="", "", SUM(OFFSET(G30, -4, 0, 4, 1))), SUMIFS('Daily Sales'!$G:$G, 'Daily Sales'!$B:$B, A30, 'Daily Sales'!$K:$K, E30))</f>
        <v/>
      </c>
      <c r="H30" s="8" t="n">
        <v>50</v>
      </c>
      <c r="I30" s="17" t="n"/>
    </row>
    <row r="31" ht="12.75" customHeight="1">
      <c r="A31" s="21" t="inlineStr">
        <is>
          <t>PROD-008 Total</t>
        </is>
      </c>
      <c r="B31" s="22" t="n"/>
      <c r="C31" s="22" t="n"/>
      <c r="D31" s="22" t="n"/>
      <c r="E31" s="22" t="n"/>
      <c r="F31" s="23">
        <f>IF(E31="", IF(A31="", "", SUM(OFFSET(F31, -4, 0, 4, 1))), H31-G31)</f>
        <v/>
      </c>
      <c r="G31" s="23">
        <f>IF(E31="", IF(A31="", "", SUM(OFFSET(G31, -4, 0, 4, 1))), SUMIFS('Daily Sales'!$G:$G, 'Daily Sales'!$B:$B, A31, 'Daily Sales'!$K:$K, E31))</f>
        <v/>
      </c>
      <c r="H31" s="23">
        <f>SUM(H27:H30)</f>
        <v/>
      </c>
      <c r="I31" s="21" t="inlineStr">
        <is>
          <t>🟢 Healthy</t>
        </is>
      </c>
    </row>
    <row r="32" ht="12.75" customHeight="1">
      <c r="A32" s="17" t="inlineStr">
        <is>
          <t>PROD-009</t>
        </is>
      </c>
      <c r="B32" s="6" t="inlineStr">
        <is>
          <t>Streetwear Cargo Joggers</t>
        </is>
      </c>
      <c r="C32" s="6" t="inlineStr">
        <is>
          <t>Apparel</t>
        </is>
      </c>
      <c r="D32" s="6" t="inlineStr">
        <is>
          <t>$42 / 1,450 THB</t>
        </is>
      </c>
      <c r="E32" s="6" t="inlineStr">
        <is>
          <t>Black</t>
        </is>
      </c>
      <c r="F32" s="18">
        <f>IF(E32="", IF(A32="", "", SUM(OFFSET(F32, -4, 0, 4, 1))), H32-G32)</f>
        <v/>
      </c>
      <c r="G32" s="18">
        <f>IF(E32="", IF(A32="", "", SUM(OFFSET(G32, -4, 0, 4, 1))), SUMIFS('Daily Sales'!$G:$G, 'Daily Sales'!$B:$B, A32, 'Daily Sales'!$K:$K, E32))</f>
        <v/>
      </c>
      <c r="H32" s="8" t="n">
        <v>50</v>
      </c>
      <c r="I32" s="17" t="n"/>
    </row>
    <row r="33" ht="12.75" customHeight="1">
      <c r="A33" s="19" t="inlineStr">
        <is>
          <t>PROD-009</t>
        </is>
      </c>
      <c r="B33" s="10" t="inlineStr">
        <is>
          <t>Streetwear Cargo Joggers</t>
        </is>
      </c>
      <c r="C33" s="10" t="inlineStr">
        <is>
          <t>Apparel</t>
        </is>
      </c>
      <c r="D33" s="10" t="inlineStr">
        <is>
          <t>$42 / 1,450 THB</t>
        </is>
      </c>
      <c r="E33" s="10" t="inlineStr">
        <is>
          <t>Red</t>
        </is>
      </c>
      <c r="F33" s="20">
        <f>IF(E33="", IF(A33="", "", SUM(OFFSET(F33, -4, 0, 4, 1))), H33-G33)</f>
        <v/>
      </c>
      <c r="G33" s="20">
        <f>IF(E33="", IF(A33="", "", SUM(OFFSET(G33, -4, 0, 4, 1))), SUMIFS('Daily Sales'!$G:$G, 'Daily Sales'!$B:$B, A33, 'Daily Sales'!$K:$K, E33))</f>
        <v/>
      </c>
      <c r="H33" s="12" t="n">
        <v>50</v>
      </c>
      <c r="I33" s="19" t="n"/>
    </row>
    <row r="34" ht="12.75" customHeight="1">
      <c r="A34" s="17" t="inlineStr">
        <is>
          <t>PROD-009</t>
        </is>
      </c>
      <c r="B34" s="6" t="inlineStr">
        <is>
          <t>Streetwear Cargo Joggers</t>
        </is>
      </c>
      <c r="C34" s="6" t="inlineStr">
        <is>
          <t>Apparel</t>
        </is>
      </c>
      <c r="D34" s="6" t="inlineStr">
        <is>
          <t>$42 / 1,450 THB</t>
        </is>
      </c>
      <c r="E34" s="6" t="inlineStr">
        <is>
          <t>Green</t>
        </is>
      </c>
      <c r="F34" s="18">
        <f>IF(E34="", IF(A34="", "", SUM(OFFSET(F34, -4, 0, 4, 1))), H34-G34)</f>
        <v/>
      </c>
      <c r="G34" s="18">
        <f>IF(E34="", IF(A34="", "", SUM(OFFSET(G34, -4, 0, 4, 1))), SUMIFS('Daily Sales'!$G:$G, 'Daily Sales'!$B:$B, A34, 'Daily Sales'!$K:$K, E34))</f>
        <v/>
      </c>
      <c r="H34" s="8" t="n">
        <v>50</v>
      </c>
      <c r="I34" s="17" t="n"/>
    </row>
    <row r="35" ht="12.75" customHeight="1">
      <c r="A35" s="19" t="inlineStr">
        <is>
          <t>PROD-009</t>
        </is>
      </c>
      <c r="B35" s="10" t="inlineStr">
        <is>
          <t>Streetwear Cargo Joggers</t>
        </is>
      </c>
      <c r="C35" s="10" t="inlineStr">
        <is>
          <t>Apparel</t>
        </is>
      </c>
      <c r="D35" s="10" t="inlineStr">
        <is>
          <t>$42 / 1,450 THB</t>
        </is>
      </c>
      <c r="E35" s="10" t="inlineStr">
        <is>
          <t>Dark Blue</t>
        </is>
      </c>
      <c r="F35" s="20">
        <f>IF(E35="", IF(A35="", "", SUM(OFFSET(F35, -4, 0, 4, 1))), H35-G35)</f>
        <v/>
      </c>
      <c r="G35" s="20">
        <f>IF(E35="", IF(A35="", "", SUM(OFFSET(G35, -4, 0, 4, 1))), SUMIFS('Daily Sales'!$G:$G, 'Daily Sales'!$B:$B, A35, 'Daily Sales'!$K:$K, E35))</f>
        <v/>
      </c>
      <c r="H35" s="12" t="n">
        <v>50</v>
      </c>
      <c r="I35" s="19" t="n"/>
    </row>
    <row r="36" ht="12.75" customHeight="1">
      <c r="A36" s="21" t="inlineStr">
        <is>
          <t>PROD-009 Total</t>
        </is>
      </c>
      <c r="B36" s="22" t="n"/>
      <c r="C36" s="22" t="n"/>
      <c r="D36" s="22" t="n"/>
      <c r="E36" s="22" t="n"/>
      <c r="F36" s="23">
        <f>IF(E36="", IF(A36="", "", SUM(OFFSET(F36, -4, 0, 4, 1))), H36-G36)</f>
        <v/>
      </c>
      <c r="G36" s="23">
        <f>IF(E36="", IF(A36="", "", SUM(OFFSET(G36, -4, 0, 4, 1))), SUMIFS('Daily Sales'!$G:$G, 'Daily Sales'!$B:$B, A36, 'Daily Sales'!$K:$K, E36))</f>
        <v/>
      </c>
      <c r="H36" s="23">
        <f>SUM(H32:H35)</f>
        <v/>
      </c>
      <c r="I36" s="21" t="inlineStr">
        <is>
          <t>🟢 Healthy</t>
        </is>
      </c>
    </row>
    <row r="37" ht="12.75" customHeight="1">
      <c r="A37" s="19" t="inlineStr">
        <is>
          <t>PROD-002</t>
        </is>
      </c>
      <c r="B37" s="10" t="inlineStr">
        <is>
          <t>AeroFit Sports T-Shirt</t>
        </is>
      </c>
      <c r="C37" s="10" t="inlineStr">
        <is>
          <t>Apparel</t>
        </is>
      </c>
      <c r="D37" s="10" t="inlineStr">
        <is>
          <t>$35 / 1,200 THB</t>
        </is>
      </c>
      <c r="E37" s="10" t="inlineStr">
        <is>
          <t>Black</t>
        </is>
      </c>
      <c r="F37" s="20">
        <f>IF(E37="", IF(A37="", "", SUM(OFFSET(F37, -4, 0, 4, 1))), H37-G37)</f>
        <v/>
      </c>
      <c r="G37" s="20">
        <f>IF(E37="", IF(A37="", "", SUM(OFFSET(G37, -4, 0, 4, 1))), SUMIFS('Daily Sales'!$G:$G, 'Daily Sales'!$B:$B, A37, 'Daily Sales'!$K:$K, E37))</f>
        <v/>
      </c>
      <c r="H37" s="12" t="n">
        <v>50</v>
      </c>
      <c r="I37" s="1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>
      <c r="A38" s="17" t="inlineStr">
        <is>
          <t>PROD-002</t>
        </is>
      </c>
      <c r="B38" s="6" t="inlineStr">
        <is>
          <t>AeroFit Sports T-Shirt</t>
        </is>
      </c>
      <c r="C38" s="6" t="inlineStr">
        <is>
          <t>Apparel</t>
        </is>
      </c>
      <c r="D38" s="6" t="inlineStr">
        <is>
          <t>$35 / 1,200 THB</t>
        </is>
      </c>
      <c r="E38" s="6" t="inlineStr">
        <is>
          <t>Red</t>
        </is>
      </c>
      <c r="F38" s="18">
        <f>IF(E38="", IF(A38="", "", SUM(OFFSET(F38, -4, 0, 4, 1))), H38-G38)</f>
        <v/>
      </c>
      <c r="G38" s="18">
        <f>IF(E38="", IF(A38="", "", SUM(OFFSET(G38, -4, 0, 4, 1))), SUMIFS('Daily Sales'!$G:$G, 'Daily Sales'!$B:$B, A38, 'Daily Sales'!$K:$K, E38))</f>
        <v/>
      </c>
      <c r="H38" s="8" t="n">
        <v>50</v>
      </c>
      <c r="I38" s="17" t="n"/>
    </row>
    <row r="39" ht="12.75" customHeight="1">
      <c r="A39" s="19" t="inlineStr">
        <is>
          <t>PROD-002</t>
        </is>
      </c>
      <c r="B39" s="10" t="inlineStr">
        <is>
          <t>AeroFit Sports T-Shirt</t>
        </is>
      </c>
      <c r="C39" s="10" t="inlineStr">
        <is>
          <t>Apparel</t>
        </is>
      </c>
      <c r="D39" s="10" t="inlineStr">
        <is>
          <t>$35 / 1,200 THB</t>
        </is>
      </c>
      <c r="E39" s="10" t="inlineStr">
        <is>
          <t>Green</t>
        </is>
      </c>
      <c r="F39" s="20">
        <f>IF(E39="", IF(A39="", "", SUM(OFFSET(F39, -4, 0, 4, 1))), H39-G39)</f>
        <v/>
      </c>
      <c r="G39" s="20">
        <f>IF(E39="", IF(A39="", "", SUM(OFFSET(G39, -4, 0, 4, 1))), SUMIFS('Daily Sales'!$G:$G, 'Daily Sales'!$B:$B, A39, 'Daily Sales'!$K:$K, E39))</f>
        <v/>
      </c>
      <c r="H39" s="12" t="n">
        <v>50</v>
      </c>
      <c r="I39" s="19" t="n"/>
    </row>
    <row r="40" ht="12.75" customHeight="1">
      <c r="A40" s="17" t="inlineStr">
        <is>
          <t>PROD-002</t>
        </is>
      </c>
      <c r="B40" s="6" t="inlineStr">
        <is>
          <t>AeroFit Sports T-Shirt</t>
        </is>
      </c>
      <c r="C40" s="6" t="inlineStr">
        <is>
          <t>Apparel</t>
        </is>
      </c>
      <c r="D40" s="6" t="inlineStr">
        <is>
          <t>$35 / 1,200 THB</t>
        </is>
      </c>
      <c r="E40" s="6" t="inlineStr">
        <is>
          <t>Dark Blue</t>
        </is>
      </c>
      <c r="F40" s="18">
        <f>IF(E40="", IF(A40="", "", SUM(OFFSET(F40, -4, 0, 4, 1))), H40-G40)</f>
        <v/>
      </c>
      <c r="G40" s="18">
        <f>IF(E40="", IF(A40="", "", SUM(OFFSET(G40, -4, 0, 4, 1))), SUMIFS('Daily Sales'!$G:$G, 'Daily Sales'!$B:$B, A40, 'Daily Sales'!$K:$K, E40))</f>
        <v/>
      </c>
      <c r="H40" s="8" t="n">
        <v>50</v>
      </c>
      <c r="I40" s="17" t="n"/>
    </row>
    <row r="41" ht="12.75" customHeight="1">
      <c r="A41" s="21" t="inlineStr">
        <is>
          <t>PROD-002 Total</t>
        </is>
      </c>
      <c r="B41" s="22" t="n"/>
      <c r="C41" s="22" t="n"/>
      <c r="D41" s="22" t="n"/>
      <c r="E41" s="22" t="n"/>
      <c r="F41" s="23">
        <f>IF(E41="", IF(A41="", "", SUM(OFFSET(F41, -4, 0, 4, 1))), H41-G41)</f>
        <v/>
      </c>
      <c r="G41" s="23">
        <f>IF(E41="", IF(A41="", "", SUM(OFFSET(G41, -4, 0, 4, 1))), SUMIFS('Daily Sales'!$G:$G, 'Daily Sales'!$B:$B, A41, 'Daily Sales'!$K:$K, E41))</f>
        <v/>
      </c>
      <c r="H41" s="23">
        <f>SUM(H37:H40)</f>
        <v/>
      </c>
      <c r="I41" s="21" t="inlineStr">
        <is>
          <t>🟢 Healthy</t>
        </is>
      </c>
    </row>
    <row r="42" ht="12.75" customHeight="1">
      <c r="A42" s="24" t="inlineStr">
        <is>
          <t>Grand Total</t>
        </is>
      </c>
      <c r="B42" s="25" t="n"/>
      <c r="C42" s="25" t="n"/>
      <c r="D42" s="25" t="n"/>
      <c r="E42" s="25" t="n"/>
      <c r="F42" s="26">
        <f>F6+F11+F16+F21+F26+F31+F36+F41</f>
        <v/>
      </c>
      <c r="G42" s="26">
        <f>G6+G11+G16+G21+G26+G31+G36+G41</f>
        <v/>
      </c>
      <c r="H42" s="26">
        <f>H6+H11+H16+H21+H26+H31+H36+H41</f>
        <v/>
      </c>
      <c r="I42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29"/>
  <sheetViews>
    <sheetView workbookViewId="0">
      <selection activeCell="G1" sqref="G1:G1048576"/>
    </sheetView>
  </sheetViews>
  <sheetFormatPr baseColWidth="8" defaultColWidth="12.5703125" defaultRowHeight="15.75" customHeight="1"/>
  <cols>
    <col width="22" bestFit="1" customWidth="1" min="1" max="1"/>
    <col width="13" bestFit="1" customWidth="1" min="2" max="2"/>
    <col width="28" bestFit="1" customWidth="1" min="3" max="3"/>
    <col width="16" bestFit="1" customWidth="1" min="4" max="4"/>
    <col width="11" bestFit="1" customWidth="1" min="5" max="5"/>
    <col width="18" bestFit="1" customWidth="1" min="6" max="6"/>
    <col width="13" bestFit="1" customWidth="1" min="7" max="7"/>
    <col width="17" bestFit="1" customWidth="1" min="8" max="8"/>
    <col width="16" bestFit="1" customWidth="1" min="9" max="9"/>
    <col width="15" bestFit="1" customWidth="1" min="10" max="10"/>
    <col width="13" bestFit="1" customWidth="1" min="11" max="11"/>
    <col width="10" bestFit="1" customWidth="1" min="12" max="12"/>
    <col width="18" customWidth="1" min="13" max="13"/>
  </cols>
  <sheetData>
    <row r="1" customFormat="1" s="3">
      <c r="A1" s="4" t="inlineStr">
        <is>
          <t>Date</t>
        </is>
      </c>
      <c r="B1" s="4" t="inlineStr">
        <is>
          <t>Product ID</t>
        </is>
      </c>
      <c r="C1" s="4" t="inlineStr">
        <is>
          <t>Product Name</t>
        </is>
      </c>
      <c r="D1" s="4" t="inlineStr">
        <is>
          <t>Customer</t>
        </is>
      </c>
      <c r="E1" s="4" t="inlineStr">
        <is>
          <t>Category</t>
        </is>
      </c>
      <c r="F1" s="4" t="inlineStr">
        <is>
          <t>Price (USD/THB)</t>
        </is>
      </c>
      <c r="G1" s="4" t="inlineStr">
        <is>
          <t>Units Sold</t>
        </is>
      </c>
      <c r="H1" s="4" t="inlineStr">
        <is>
          <t>Original Stock</t>
        </is>
      </c>
      <c r="I1" s="4" t="inlineStr">
        <is>
          <t>Current Stock</t>
        </is>
      </c>
      <c r="J1" s="4" t="inlineStr">
        <is>
          <t>Status</t>
        </is>
      </c>
      <c r="K1" s="4" t="inlineStr">
        <is>
          <t>Color Sold</t>
        </is>
      </c>
      <c r="L1" s="4" t="inlineStr">
        <is>
          <t>Size</t>
        </is>
      </c>
      <c r="M1" s="31" t="inlineStr">
        <is>
          <t>Revenue (USD)</t>
        </is>
      </c>
    </row>
    <row r="2">
      <c r="A2" s="5" t="n">
        <v>46172</v>
      </c>
      <c r="B2" s="17" t="inlineStr">
        <is>
          <t>PROD-008</t>
        </is>
      </c>
      <c r="C2" s="6" t="inlineStr">
        <is>
          <t>Classic Camp Collar Shirt</t>
        </is>
      </c>
      <c r="D2" s="6" t="inlineStr">
        <is>
          <t>Julia</t>
        </is>
      </c>
      <c r="E2" s="6" t="inlineStr">
        <is>
          <t>Apparel</t>
        </is>
      </c>
      <c r="F2" s="6" t="inlineStr">
        <is>
          <t>$40 / 1,350 THB</t>
        </is>
      </c>
      <c r="G2" s="8" t="n">
        <v>1</v>
      </c>
      <c r="H2" s="8" t="n">
        <v>50</v>
      </c>
      <c r="I2" s="18">
        <f>H2 - SUMIFS(G$2:G$28, B$2:B$28, B2, K$2:K$28, K2)</f>
        <v/>
      </c>
      <c r="J2" s="17" t="inlineStr">
        <is>
          <t>🟢 Healthy</t>
        </is>
      </c>
      <c r="K2" s="6" t="inlineStr">
        <is>
          <t>Black</t>
        </is>
      </c>
      <c r="L2" s="17" t="inlineStr">
        <is>
          <t>Large</t>
        </is>
      </c>
      <c r="M2" s="43" t="n">
        <v>40</v>
      </c>
    </row>
    <row r="3">
      <c r="A3" s="9" t="n">
        <v>46172</v>
      </c>
      <c r="B3" s="19" t="inlineStr">
        <is>
          <t>PROD-011</t>
        </is>
      </c>
      <c r="C3" s="10" t="inlineStr">
        <is>
          <t>Cozy Oversized Hoodie</t>
        </is>
      </c>
      <c r="D3" s="10" t="inlineStr">
        <is>
          <t>Julia</t>
        </is>
      </c>
      <c r="E3" s="10" t="inlineStr">
        <is>
          <t>Apparel</t>
        </is>
      </c>
      <c r="F3" s="10" t="inlineStr">
        <is>
          <t>$50 / 1,700 THB</t>
        </is>
      </c>
      <c r="G3" s="12" t="n">
        <v>9</v>
      </c>
      <c r="H3" s="12" t="n">
        <v>50</v>
      </c>
      <c r="I3" s="20">
        <f>H3 - SUMIFS(G$2:G$28, B$2:B$28, B3, K$2:K$28, K3)</f>
        <v/>
      </c>
      <c r="J3" s="19" t="inlineStr">
        <is>
          <t>⚠️ Low Stock</t>
        </is>
      </c>
      <c r="K3" s="10" t="inlineStr">
        <is>
          <t>Black</t>
        </is>
      </c>
      <c r="L3" s="19" t="inlineStr">
        <is>
          <t>Medium</t>
        </is>
      </c>
      <c r="M3" s="44" t="n">
        <v>450</v>
      </c>
    </row>
    <row r="4">
      <c r="A4" s="5" t="n">
        <v>46172</v>
      </c>
      <c r="B4" s="17" t="inlineStr">
        <is>
          <t>PROD-010</t>
        </is>
      </c>
      <c r="C4" s="6" t="inlineStr">
        <is>
          <t>Premium Minimalist Tee</t>
        </is>
      </c>
      <c r="D4" s="6" t="inlineStr">
        <is>
          <t>Leo</t>
        </is>
      </c>
      <c r="E4" s="6" t="inlineStr">
        <is>
          <t>Apparel</t>
        </is>
      </c>
      <c r="F4" s="6" t="inlineStr">
        <is>
          <t>$25 / 850 THB</t>
        </is>
      </c>
      <c r="G4" s="8" t="n">
        <v>5</v>
      </c>
      <c r="H4" s="8" t="n">
        <v>50</v>
      </c>
      <c r="I4" s="18">
        <f>H4 - SUMIFS(G$2:G$28, B$2:B$28, B4, K$2:K$28, K4)</f>
        <v/>
      </c>
      <c r="J4" s="17" t="inlineStr">
        <is>
          <t>🟢 Healthy</t>
        </is>
      </c>
      <c r="K4" s="6" t="inlineStr">
        <is>
          <t>Black</t>
        </is>
      </c>
      <c r="L4" s="17" t="inlineStr">
        <is>
          <t>Medium</t>
        </is>
      </c>
      <c r="M4" s="43" t="n">
        <v>125</v>
      </c>
    </row>
    <row r="5">
      <c r="A5" s="9" t="n">
        <v>46172</v>
      </c>
      <c r="B5" s="19" t="inlineStr">
        <is>
          <t>PROD-007</t>
        </is>
      </c>
      <c r="C5" s="10" t="inlineStr">
        <is>
          <t>Racing Edition Polo Shirt</t>
        </is>
      </c>
      <c r="D5" s="10" t="inlineStr">
        <is>
          <t>Leo</t>
        </is>
      </c>
      <c r="E5" s="10" t="inlineStr">
        <is>
          <t>Apparel</t>
        </is>
      </c>
      <c r="F5" s="10" t="inlineStr">
        <is>
          <t>$45 / 1,550 THB</t>
        </is>
      </c>
      <c r="G5" s="12" t="n">
        <v>5</v>
      </c>
      <c r="H5" s="12" t="n">
        <v>50</v>
      </c>
      <c r="I5" s="20">
        <f>H5 - SUMIFS(G$2:G$28, B$2:B$28, B5, K$2:K$28, K5)</f>
        <v/>
      </c>
      <c r="J5" s="19" t="inlineStr">
        <is>
          <t>🟢 Healthy</t>
        </is>
      </c>
      <c r="K5" s="10" t="inlineStr">
        <is>
          <t>Dark Blue</t>
        </is>
      </c>
      <c r="L5" s="19" t="inlineStr">
        <is>
          <t>Medium</t>
        </is>
      </c>
      <c r="M5" s="44" t="n">
        <v>225</v>
      </c>
    </row>
    <row r="6">
      <c r="A6" s="5" t="n">
        <v>46172</v>
      </c>
      <c r="B6" s="17" t="inlineStr">
        <is>
          <t>PROD-007</t>
        </is>
      </c>
      <c r="C6" s="6" t="inlineStr">
        <is>
          <t>Racing Edition Polo Shirt</t>
        </is>
      </c>
      <c r="D6" s="6" t="inlineStr">
        <is>
          <t>Julia</t>
        </is>
      </c>
      <c r="E6" s="6" t="inlineStr">
        <is>
          <t>Apparel</t>
        </is>
      </c>
      <c r="F6" s="6" t="inlineStr">
        <is>
          <t>$45 / 1,550 THB</t>
        </is>
      </c>
      <c r="G6" s="8" t="n">
        <v>1</v>
      </c>
      <c r="H6" s="8" t="n">
        <v>50</v>
      </c>
      <c r="I6" s="18">
        <f>H6 - SUMIFS(G$2:G$28, B$2:B$28, B6, K$2:K$28, K6)</f>
        <v/>
      </c>
      <c r="J6" s="17" t="inlineStr">
        <is>
          <t>🟢 Healthy</t>
        </is>
      </c>
      <c r="K6" s="6" t="inlineStr">
        <is>
          <t>Green</t>
        </is>
      </c>
      <c r="L6" s="17" t="inlineStr">
        <is>
          <t>Small</t>
        </is>
      </c>
      <c r="M6" s="43" t="n">
        <v>45</v>
      </c>
    </row>
    <row r="7">
      <c r="A7" s="9" t="n">
        <v>46172</v>
      </c>
      <c r="B7" s="19" t="inlineStr">
        <is>
          <t>PROD-006</t>
        </is>
      </c>
      <c r="C7" s="10" t="inlineStr">
        <is>
          <t>Active Dry-Fit T-Shirt</t>
        </is>
      </c>
      <c r="D7" s="10" t="inlineStr">
        <is>
          <t>Julia</t>
        </is>
      </c>
      <c r="E7" s="10" t="inlineStr">
        <is>
          <t>Apparel</t>
        </is>
      </c>
      <c r="F7" s="10" t="inlineStr">
        <is>
          <t>$30 / 1,000 THB</t>
        </is>
      </c>
      <c r="G7" s="12" t="n">
        <v>1</v>
      </c>
      <c r="H7" s="12" t="n">
        <v>50</v>
      </c>
      <c r="I7" s="20">
        <f>H7 - SUMIFS(G$2:G$28, B$2:B$28, B7, K$2:K$28, K7)</f>
        <v/>
      </c>
      <c r="J7" s="19" t="inlineStr">
        <is>
          <t>🟢 Healthy</t>
        </is>
      </c>
      <c r="K7" s="10" t="inlineStr">
        <is>
          <t>Green</t>
        </is>
      </c>
      <c r="L7" s="19" t="inlineStr">
        <is>
          <t>Small</t>
        </is>
      </c>
      <c r="M7" s="44" t="n">
        <v>30</v>
      </c>
    </row>
    <row r="8">
      <c r="A8" s="5" t="n">
        <v>46172</v>
      </c>
      <c r="B8" s="17" t="inlineStr">
        <is>
          <t>PROD-009</t>
        </is>
      </c>
      <c r="C8" s="6" t="inlineStr">
        <is>
          <t>Streetwear Cargo Joggers</t>
        </is>
      </c>
      <c r="D8" s="6" t="inlineStr">
        <is>
          <t>Julia</t>
        </is>
      </c>
      <c r="E8" s="6" t="inlineStr">
        <is>
          <t>Apparel</t>
        </is>
      </c>
      <c r="F8" s="6" t="inlineStr">
        <is>
          <t>$42 / 1,450 THB</t>
        </is>
      </c>
      <c r="G8" s="8" t="n">
        <v>1</v>
      </c>
      <c r="H8" s="8" t="n">
        <v>50</v>
      </c>
      <c r="I8" s="18">
        <f>H8 - SUMIFS(G$2:G$28, B$2:B$28, B8, K$2:K$28, K8)</f>
        <v/>
      </c>
      <c r="J8" s="17" t="inlineStr">
        <is>
          <t>🟢 Healthy</t>
        </is>
      </c>
      <c r="K8" s="6" t="inlineStr">
        <is>
          <t>Green</t>
        </is>
      </c>
      <c r="L8" s="17" t="inlineStr">
        <is>
          <t>Small</t>
        </is>
      </c>
      <c r="M8" s="43" t="n">
        <v>42</v>
      </c>
    </row>
    <row r="9">
      <c r="A9" s="9" t="n">
        <v>46172</v>
      </c>
      <c r="B9" s="19" t="inlineStr">
        <is>
          <t>PROD-010</t>
        </is>
      </c>
      <c r="C9" s="10" t="inlineStr">
        <is>
          <t>Premium Minimalist Tee</t>
        </is>
      </c>
      <c r="D9" s="10" t="inlineStr">
        <is>
          <t>Julia</t>
        </is>
      </c>
      <c r="E9" s="10" t="inlineStr">
        <is>
          <t>Apparel</t>
        </is>
      </c>
      <c r="F9" s="10" t="inlineStr">
        <is>
          <t>$25 / 850 THB</t>
        </is>
      </c>
      <c r="G9" s="12" t="n">
        <v>1</v>
      </c>
      <c r="H9" s="12" t="n">
        <v>50</v>
      </c>
      <c r="I9" s="20">
        <f>H9 - SUMIFS(G$2:G$28, B$2:B$28, B9, K$2:K$28, K9)</f>
        <v/>
      </c>
      <c r="J9" s="19" t="inlineStr">
        <is>
          <t>🟢 Healthy</t>
        </is>
      </c>
      <c r="K9" s="10" t="inlineStr">
        <is>
          <t>Green</t>
        </is>
      </c>
      <c r="L9" s="19" t="inlineStr">
        <is>
          <t>Small</t>
        </is>
      </c>
      <c r="M9" s="44" t="n">
        <v>25</v>
      </c>
    </row>
    <row r="10">
      <c r="A10" s="5" t="n">
        <v>46172</v>
      </c>
      <c r="B10" s="17" t="inlineStr">
        <is>
          <t>PROD-011</t>
        </is>
      </c>
      <c r="C10" s="6" t="inlineStr">
        <is>
          <t>Cozy Oversized Hoodie</t>
        </is>
      </c>
      <c r="D10" s="6" t="inlineStr">
        <is>
          <t>Julia</t>
        </is>
      </c>
      <c r="E10" s="6" t="inlineStr">
        <is>
          <t>Apparel</t>
        </is>
      </c>
      <c r="F10" s="6" t="inlineStr">
        <is>
          <t>$50 / 1,700 THB</t>
        </is>
      </c>
      <c r="G10" s="8" t="n">
        <v>1</v>
      </c>
      <c r="H10" s="8" t="n">
        <v>50</v>
      </c>
      <c r="I10" s="18">
        <f>H10 - SUMIFS(G$2:G$28, B$2:B$28, B10, K$2:K$28, K10)</f>
        <v/>
      </c>
      <c r="J10" s="17" t="inlineStr">
        <is>
          <t>⚠️ Low Stock</t>
        </is>
      </c>
      <c r="K10" s="6" t="inlineStr">
        <is>
          <t>Green</t>
        </is>
      </c>
      <c r="L10" s="17" t="inlineStr">
        <is>
          <t>Small</t>
        </is>
      </c>
      <c r="M10" s="43" t="n">
        <v>50</v>
      </c>
    </row>
    <row r="11">
      <c r="A11" s="9" t="n">
        <v>46172</v>
      </c>
      <c r="B11" s="19" t="inlineStr">
        <is>
          <t>PROD-006</t>
        </is>
      </c>
      <c r="C11" s="10" t="inlineStr">
        <is>
          <t>Active Dry-Fit T-Shirt</t>
        </is>
      </c>
      <c r="D11" s="10" t="inlineStr">
        <is>
          <t>Julia</t>
        </is>
      </c>
      <c r="E11" s="10" t="inlineStr">
        <is>
          <t>Apparel</t>
        </is>
      </c>
      <c r="F11" s="10" t="inlineStr">
        <is>
          <t>$30 / 1,000 THB</t>
        </is>
      </c>
      <c r="G11" s="12" t="n">
        <v>5</v>
      </c>
      <c r="H11" s="12" t="n">
        <v>50</v>
      </c>
      <c r="I11" s="20">
        <f>H11 - SUMIFS(G$2:G$28, B$2:B$28, B11, K$2:K$28, K11)</f>
        <v/>
      </c>
      <c r="J11" s="19" t="inlineStr">
        <is>
          <t>🟢 Healthy</t>
        </is>
      </c>
      <c r="K11" s="10" t="inlineStr">
        <is>
          <t>Green</t>
        </is>
      </c>
      <c r="L11" s="19" t="inlineStr">
        <is>
          <t>Medium</t>
        </is>
      </c>
      <c r="M11" s="44" t="n">
        <v>150</v>
      </c>
    </row>
    <row r="12">
      <c r="A12" s="5" t="n">
        <v>46172</v>
      </c>
      <c r="B12" s="17" t="inlineStr">
        <is>
          <t>PROD-008</t>
        </is>
      </c>
      <c r="C12" s="6" t="inlineStr">
        <is>
          <t>Classic Camp Collar Shirt</t>
        </is>
      </c>
      <c r="D12" s="6" t="inlineStr">
        <is>
          <t>Julia</t>
        </is>
      </c>
      <c r="E12" s="6" t="inlineStr">
        <is>
          <t>Apparel</t>
        </is>
      </c>
      <c r="F12" s="6" t="inlineStr">
        <is>
          <t>$40 / 1,350 THB</t>
        </is>
      </c>
      <c r="G12" s="8" t="n">
        <v>3</v>
      </c>
      <c r="H12" s="8" t="n">
        <v>50</v>
      </c>
      <c r="I12" s="18">
        <f>H12 - SUMIFS(G$2:G$28, B$2:B$28, B12, K$2:K$28, K12)</f>
        <v/>
      </c>
      <c r="J12" s="17" t="inlineStr">
        <is>
          <t>🟢 Healthy</t>
        </is>
      </c>
      <c r="K12" s="6" t="inlineStr">
        <is>
          <t>Dark Blue</t>
        </is>
      </c>
      <c r="L12" s="17" t="inlineStr">
        <is>
          <t>Large</t>
        </is>
      </c>
      <c r="M12" s="43" t="n">
        <v>120</v>
      </c>
    </row>
    <row r="13">
      <c r="A13" s="9" t="n">
        <v>46172</v>
      </c>
      <c r="B13" s="19" t="inlineStr">
        <is>
          <t>PROD-011</t>
        </is>
      </c>
      <c r="C13" s="10" t="inlineStr">
        <is>
          <t>Cozy Oversized Hoodie</t>
        </is>
      </c>
      <c r="D13" s="10" t="inlineStr">
        <is>
          <t>Julia</t>
        </is>
      </c>
      <c r="E13" s="10" t="inlineStr">
        <is>
          <t>Apparel</t>
        </is>
      </c>
      <c r="F13" s="10" t="inlineStr">
        <is>
          <t>$50 / 1,700 THB</t>
        </is>
      </c>
      <c r="G13" s="12" t="n">
        <v>1</v>
      </c>
      <c r="H13" s="12" t="n">
        <v>50</v>
      </c>
      <c r="I13" s="20">
        <f>H13 - SUMIFS(G$2:G$28, B$2:B$28, B13, K$2:K$28, K13)</f>
        <v/>
      </c>
      <c r="J13" s="19" t="inlineStr">
        <is>
          <t>⚠️ Low Stock</t>
        </is>
      </c>
      <c r="K13" s="10" t="inlineStr">
        <is>
          <t>Red</t>
        </is>
      </c>
      <c r="L13" s="19" t="inlineStr">
        <is>
          <t>Medium</t>
        </is>
      </c>
      <c r="M13" s="44" t="n">
        <v>50</v>
      </c>
    </row>
    <row r="14">
      <c r="A14" s="5" t="n">
        <v>46172</v>
      </c>
      <c r="B14" s="17" t="inlineStr">
        <is>
          <t>PROD-005</t>
        </is>
      </c>
      <c r="C14" s="6" t="inlineStr">
        <is>
          <t>Classic Flare Skirt</t>
        </is>
      </c>
      <c r="D14" s="6" t="inlineStr">
        <is>
          <t>Trevor</t>
        </is>
      </c>
      <c r="E14" s="6" t="inlineStr">
        <is>
          <t>Apparel</t>
        </is>
      </c>
      <c r="F14" s="6" t="inlineStr">
        <is>
          <t>$28 / 950 THB</t>
        </is>
      </c>
      <c r="G14" s="8" t="n">
        <v>3</v>
      </c>
      <c r="H14" s="8" t="n">
        <v>50</v>
      </c>
      <c r="I14" s="18">
        <f>H14 - SUMIFS(G$2:G$28, B$2:B$28, B14, K$2:K$28, K14)</f>
        <v/>
      </c>
      <c r="J14" s="17" t="inlineStr">
        <is>
          <t>🟢 Healthy</t>
        </is>
      </c>
      <c r="K14" s="6" t="inlineStr">
        <is>
          <t>Dark Blue</t>
        </is>
      </c>
      <c r="L14" s="17" t="inlineStr">
        <is>
          <t>XXL</t>
        </is>
      </c>
      <c r="M14" s="43" t="n">
        <v>84</v>
      </c>
    </row>
    <row r="15">
      <c r="A15" s="9" t="n">
        <v>46172</v>
      </c>
      <c r="B15" s="19" t="inlineStr">
        <is>
          <t>PROD-006</t>
        </is>
      </c>
      <c r="C15" s="10" t="inlineStr">
        <is>
          <t>Active Dry-Fit T-Shirt</t>
        </is>
      </c>
      <c r="D15" s="10" t="inlineStr">
        <is>
          <t>Trevor</t>
        </is>
      </c>
      <c r="E15" s="10" t="inlineStr">
        <is>
          <t>Apparel</t>
        </is>
      </c>
      <c r="F15" s="10" t="inlineStr">
        <is>
          <t>$30 / 1,000 THB</t>
        </is>
      </c>
      <c r="G15" s="12" t="n">
        <v>1</v>
      </c>
      <c r="H15" s="12" t="n">
        <v>50</v>
      </c>
      <c r="I15" s="20">
        <f>H15 - SUMIFS(G$2:G$28, B$2:B$28, B15, K$2:K$28, K15)</f>
        <v/>
      </c>
      <c r="J15" s="19" t="inlineStr">
        <is>
          <t>🟢 Healthy</t>
        </is>
      </c>
      <c r="K15" s="10" t="inlineStr">
        <is>
          <t>Black</t>
        </is>
      </c>
      <c r="L15" s="19" t="inlineStr">
        <is>
          <t>Medium</t>
        </is>
      </c>
      <c r="M15" s="44" t="n">
        <v>30</v>
      </c>
    </row>
    <row r="16">
      <c r="A16" s="5" t="n">
        <v>46172</v>
      </c>
      <c r="B16" s="17" t="inlineStr">
        <is>
          <t>PROD-009</t>
        </is>
      </c>
      <c r="C16" s="6" t="inlineStr">
        <is>
          <t>Streetwear Cargo Joggers</t>
        </is>
      </c>
      <c r="D16" s="6" t="inlineStr">
        <is>
          <t>Trevor</t>
        </is>
      </c>
      <c r="E16" s="6" t="inlineStr">
        <is>
          <t>Apparel</t>
        </is>
      </c>
      <c r="F16" s="6" t="inlineStr">
        <is>
          <t>$42 / 1,450 THB</t>
        </is>
      </c>
      <c r="G16" s="8" t="n">
        <v>1</v>
      </c>
      <c r="H16" s="8" t="n">
        <v>50</v>
      </c>
      <c r="I16" s="18">
        <f>H16 - SUMIFS(G$2:G$28, B$2:B$28, B16, K$2:K$28, K16)</f>
        <v/>
      </c>
      <c r="J16" s="17" t="inlineStr">
        <is>
          <t>🟢 Healthy</t>
        </is>
      </c>
      <c r="K16" s="6" t="inlineStr">
        <is>
          <t>Black</t>
        </is>
      </c>
      <c r="L16" s="17" t="inlineStr">
        <is>
          <t>XL</t>
        </is>
      </c>
      <c r="M16" s="43" t="n">
        <v>42</v>
      </c>
    </row>
    <row r="17">
      <c r="A17" s="9" t="n">
        <v>46172</v>
      </c>
      <c r="B17" s="19" t="inlineStr">
        <is>
          <t>PROD-005</t>
        </is>
      </c>
      <c r="C17" s="10" t="inlineStr">
        <is>
          <t>Classic Flare Skirt</t>
        </is>
      </c>
      <c r="D17" s="10" t="inlineStr">
        <is>
          <t>Mike</t>
        </is>
      </c>
      <c r="E17" s="10" t="inlineStr">
        <is>
          <t>Apparel</t>
        </is>
      </c>
      <c r="F17" s="10" t="inlineStr">
        <is>
          <t>$28 / 950 THB</t>
        </is>
      </c>
      <c r="G17" s="12" t="n">
        <v>1</v>
      </c>
      <c r="H17" s="12" t="n">
        <v>50</v>
      </c>
      <c r="I17" s="20">
        <f>H17 - SUMIFS(G$2:G$28, B$2:B$28, B17, K$2:K$28, K17)</f>
        <v/>
      </c>
      <c r="J17" s="19" t="inlineStr">
        <is>
          <t>🟢 Healthy</t>
        </is>
      </c>
      <c r="K17" s="10" t="inlineStr">
        <is>
          <t>Black</t>
        </is>
      </c>
      <c r="L17" s="19" t="inlineStr">
        <is>
          <t>XL</t>
        </is>
      </c>
      <c r="M17" s="44" t="n">
        <v>28</v>
      </c>
    </row>
    <row r="18">
      <c r="A18" s="5" t="n">
        <v>46172</v>
      </c>
      <c r="B18" s="17" t="inlineStr">
        <is>
          <t>PROD-011</t>
        </is>
      </c>
      <c r="C18" s="6" t="inlineStr">
        <is>
          <t>Cozy Oversized Hoodie</t>
        </is>
      </c>
      <c r="D18" s="6" t="inlineStr">
        <is>
          <t>Mike</t>
        </is>
      </c>
      <c r="E18" s="6" t="inlineStr">
        <is>
          <t>Apparel</t>
        </is>
      </c>
      <c r="F18" s="6" t="inlineStr">
        <is>
          <t>$50 / 1,700 THB</t>
        </is>
      </c>
      <c r="G18" s="8" t="n">
        <v>1</v>
      </c>
      <c r="H18" s="8" t="n">
        <v>50</v>
      </c>
      <c r="I18" s="18">
        <f>H18 - SUMIFS(G$2:G$28, B$2:B$28, B18, K$2:K$28, K18)</f>
        <v/>
      </c>
      <c r="J18" s="17" t="inlineStr">
        <is>
          <t>⚠️ Low Stock</t>
        </is>
      </c>
      <c r="K18" s="6" t="inlineStr">
        <is>
          <t>Red</t>
        </is>
      </c>
      <c r="L18" s="17" t="inlineStr">
        <is>
          <t>Large</t>
        </is>
      </c>
      <c r="M18" s="43" t="n">
        <v>50</v>
      </c>
    </row>
    <row r="19">
      <c r="A19" s="9" t="n">
        <v>46172</v>
      </c>
      <c r="B19" s="19" t="inlineStr">
        <is>
          <t>PROD-007</t>
        </is>
      </c>
      <c r="C19" s="10" t="inlineStr">
        <is>
          <t>Racing Edition Polo Shirt</t>
        </is>
      </c>
      <c r="D19" s="10" t="inlineStr">
        <is>
          <t>Mike</t>
        </is>
      </c>
      <c r="E19" s="10" t="inlineStr">
        <is>
          <t>Apparel</t>
        </is>
      </c>
      <c r="F19" s="10" t="inlineStr">
        <is>
          <t>$45 / 1,550 THB</t>
        </is>
      </c>
      <c r="G19" s="12" t="n">
        <v>1</v>
      </c>
      <c r="H19" s="12" t="n">
        <v>50</v>
      </c>
      <c r="I19" s="20">
        <f>H19 - SUMIFS(G$2:G$28, B$2:B$28, B19, K$2:K$28, K19)</f>
        <v/>
      </c>
      <c r="J19" s="19" t="inlineStr">
        <is>
          <t>🟢 Healthy</t>
        </is>
      </c>
      <c r="K19" s="10" t="inlineStr">
        <is>
          <t>Black</t>
        </is>
      </c>
      <c r="L19" s="19" t="inlineStr">
        <is>
          <t>Medium</t>
        </is>
      </c>
      <c r="M19" s="44" t="n">
        <v>45</v>
      </c>
    </row>
    <row r="20">
      <c r="A20" s="5" t="n">
        <v>46172</v>
      </c>
      <c r="B20" s="17" t="inlineStr">
        <is>
          <t>PROD-007</t>
        </is>
      </c>
      <c r="C20" s="6" t="inlineStr">
        <is>
          <t>Racing Edition Polo Shirt</t>
        </is>
      </c>
      <c r="D20" s="6" t="inlineStr">
        <is>
          <t>Mike</t>
        </is>
      </c>
      <c r="E20" s="6" t="inlineStr">
        <is>
          <t>Apparel</t>
        </is>
      </c>
      <c r="F20" s="6" t="inlineStr">
        <is>
          <t>$45 / 1,550 THB</t>
        </is>
      </c>
      <c r="G20" s="8" t="n">
        <v>2</v>
      </c>
      <c r="H20" s="8" t="n">
        <v>50</v>
      </c>
      <c r="I20" s="18">
        <f>H20 - SUMIFS(G$2:G$28, B$2:B$28, B20, K$2:K$28, K20)</f>
        <v/>
      </c>
      <c r="J20" s="17" t="inlineStr">
        <is>
          <t>🟢 Healthy</t>
        </is>
      </c>
      <c r="K20" s="6" t="inlineStr">
        <is>
          <t>Red</t>
        </is>
      </c>
      <c r="L20" s="17" t="inlineStr">
        <is>
          <t>Large</t>
        </is>
      </c>
      <c r="M20" s="43" t="n">
        <v>90</v>
      </c>
    </row>
    <row r="21">
      <c r="A21" s="9" t="n">
        <v>46172</v>
      </c>
      <c r="B21" s="19" t="inlineStr">
        <is>
          <t>PROD-011</t>
        </is>
      </c>
      <c r="C21" s="10" t="inlineStr">
        <is>
          <t>Cozy Oversized Hoodie</t>
        </is>
      </c>
      <c r="D21" s="10" t="inlineStr">
        <is>
          <t>Julia</t>
        </is>
      </c>
      <c r="E21" s="10" t="inlineStr">
        <is>
          <t>Apparel</t>
        </is>
      </c>
      <c r="F21" s="10" t="inlineStr">
        <is>
          <t>$50 / 1,700 THB</t>
        </is>
      </c>
      <c r="G21" s="12" t="n">
        <v>5</v>
      </c>
      <c r="H21" s="12" t="n">
        <v>50</v>
      </c>
      <c r="I21" s="20">
        <f>H21 - SUMIFS(G$2:G$28, B$2:B$28, B21, K$2:K$28, K21)</f>
        <v/>
      </c>
      <c r="J21" s="19" t="inlineStr">
        <is>
          <t>⚠️ Low Stock</t>
        </is>
      </c>
      <c r="K21" s="10" t="inlineStr">
        <is>
          <t>Black</t>
        </is>
      </c>
      <c r="L21" s="19" t="inlineStr">
        <is>
          <t>Medium</t>
        </is>
      </c>
      <c r="M21" s="44" t="n">
        <v>250</v>
      </c>
    </row>
    <row r="22">
      <c r="A22" s="5" t="n">
        <v>46172</v>
      </c>
      <c r="B22" s="17" t="inlineStr">
        <is>
          <t>PROD-005</t>
        </is>
      </c>
      <c r="C22" s="6" t="inlineStr">
        <is>
          <t>Classic Flare Skirt</t>
        </is>
      </c>
      <c r="D22" s="6" t="inlineStr">
        <is>
          <t>Mary</t>
        </is>
      </c>
      <c r="E22" s="6" t="inlineStr">
        <is>
          <t>Apparel</t>
        </is>
      </c>
      <c r="F22" s="6" t="inlineStr">
        <is>
          <t>$28 / 950 THB</t>
        </is>
      </c>
      <c r="G22" s="8" t="n">
        <v>2</v>
      </c>
      <c r="H22" s="8" t="n">
        <v>50</v>
      </c>
      <c r="I22" s="18">
        <f>H22 - SUMIFS(G$2:G$28, B$2:B$28, B22, K$2:K$28, K22)</f>
        <v/>
      </c>
      <c r="J22" s="17" t="inlineStr">
        <is>
          <t>🟢 Healthy</t>
        </is>
      </c>
      <c r="K22" s="6" t="inlineStr">
        <is>
          <t>Black</t>
        </is>
      </c>
      <c r="L22" s="17" t="inlineStr">
        <is>
          <t>Medium</t>
        </is>
      </c>
      <c r="M22" s="43" t="n">
        <v>56</v>
      </c>
    </row>
    <row r="23">
      <c r="A23" s="9" t="n">
        <v>46172</v>
      </c>
      <c r="B23" s="19" t="inlineStr">
        <is>
          <t>PROD-010</t>
        </is>
      </c>
      <c r="C23" s="10" t="inlineStr">
        <is>
          <t>Premium Minimalist Tee</t>
        </is>
      </c>
      <c r="D23" s="10" t="inlineStr">
        <is>
          <t>Avril</t>
        </is>
      </c>
      <c r="E23" s="10" t="inlineStr">
        <is>
          <t>Apparel</t>
        </is>
      </c>
      <c r="F23" s="10" t="inlineStr">
        <is>
          <t>$25 / 850 THB</t>
        </is>
      </c>
      <c r="G23" s="12" t="n">
        <v>1</v>
      </c>
      <c r="H23" s="12" t="n">
        <v>50</v>
      </c>
      <c r="I23" s="20">
        <f>H23 - SUMIFS(G$2:G$28, B$2:B$28, B23, K$2:K$28, K23)</f>
        <v/>
      </c>
      <c r="J23" s="19" t="inlineStr">
        <is>
          <t>🟢 Healthy</t>
        </is>
      </c>
      <c r="K23" s="10" t="inlineStr">
        <is>
          <t>Black</t>
        </is>
      </c>
      <c r="L23" s="19" t="inlineStr">
        <is>
          <t>Medium</t>
        </is>
      </c>
      <c r="M23" s="44" t="n">
        <v>25</v>
      </c>
    </row>
    <row r="24">
      <c r="A24" s="5" t="n">
        <v>46171</v>
      </c>
      <c r="B24" s="17" t="inlineStr">
        <is>
          <t>PROD-007</t>
        </is>
      </c>
      <c r="C24" s="6" t="inlineStr">
        <is>
          <t>Racing Edition Polo Shirt</t>
        </is>
      </c>
      <c r="D24" s="6" t="inlineStr">
        <is>
          <t>Justin Bieber</t>
        </is>
      </c>
      <c r="E24" s="6" t="inlineStr">
        <is>
          <t>Apparel</t>
        </is>
      </c>
      <c r="F24" s="6" t="inlineStr">
        <is>
          <t>$45 / 1,550 THB</t>
        </is>
      </c>
      <c r="G24" s="8" t="n">
        <v>1</v>
      </c>
      <c r="H24" s="8" t="n">
        <v>50</v>
      </c>
      <c r="I24" s="18">
        <f>H24 - SUMIFS(G$2:G$28, B$2:B$28, B24, K$2:K$28, K24)</f>
        <v/>
      </c>
      <c r="J24" s="17" t="inlineStr">
        <is>
          <t>🟢 Healthy</t>
        </is>
      </c>
      <c r="K24" s="6" t="inlineStr">
        <is>
          <t>Black</t>
        </is>
      </c>
      <c r="L24" s="17" t="inlineStr">
        <is>
          <t>Large</t>
        </is>
      </c>
      <c r="M24" s="43" t="n">
        <v>45</v>
      </c>
    </row>
    <row r="25">
      <c r="A25" s="9" t="n">
        <v>46171</v>
      </c>
      <c r="B25" s="19" t="inlineStr">
        <is>
          <t>PROD-009</t>
        </is>
      </c>
      <c r="C25" s="10" t="inlineStr">
        <is>
          <t>Streetwear Cargo Joggers</t>
        </is>
      </c>
      <c r="D25" s="10" t="inlineStr">
        <is>
          <t>Leo</t>
        </is>
      </c>
      <c r="E25" s="10" t="inlineStr">
        <is>
          <t>Apparel</t>
        </is>
      </c>
      <c r="F25" s="10" t="inlineStr">
        <is>
          <t>$42 / 1,450 THB</t>
        </is>
      </c>
      <c r="G25" s="12" t="n">
        <v>1</v>
      </c>
      <c r="H25" s="12" t="n">
        <v>50</v>
      </c>
      <c r="I25" s="20">
        <f>H25 - SUMIFS(G$2:G$28, B$2:B$28, B25, K$2:K$28, K25)</f>
        <v/>
      </c>
      <c r="J25" s="19" t="inlineStr">
        <is>
          <t>🟢 Healthy</t>
        </is>
      </c>
      <c r="K25" s="10" t="inlineStr">
        <is>
          <t>Black</t>
        </is>
      </c>
      <c r="L25" s="19" t="inlineStr">
        <is>
          <t>Large</t>
        </is>
      </c>
      <c r="M25" s="44" t="n">
        <v>42</v>
      </c>
    </row>
    <row r="26">
      <c r="A26" s="5" t="n">
        <v>46171</v>
      </c>
      <c r="B26" s="17" t="inlineStr">
        <is>
          <t>PROD-010</t>
        </is>
      </c>
      <c r="C26" s="6" t="inlineStr">
        <is>
          <t>Premium Minimalist Tee</t>
        </is>
      </c>
      <c r="D26" s="6" t="inlineStr">
        <is>
          <t>Avril</t>
        </is>
      </c>
      <c r="E26" s="6" t="inlineStr">
        <is>
          <t>Apparel</t>
        </is>
      </c>
      <c r="F26" s="6" t="inlineStr">
        <is>
          <t>$25 / 850 THB</t>
        </is>
      </c>
      <c r="G26" s="8" t="n">
        <v>1</v>
      </c>
      <c r="H26" s="8" t="n">
        <v>50</v>
      </c>
      <c r="I26" s="18">
        <f>H26 - SUMIFS(G$2:G$28, B$2:B$28, B26, K$2:K$28, K26)</f>
        <v/>
      </c>
      <c r="J26" s="17" t="inlineStr">
        <is>
          <t>🟢 Healthy</t>
        </is>
      </c>
      <c r="K26" s="6" t="inlineStr">
        <is>
          <t>Black</t>
        </is>
      </c>
      <c r="L26" s="17" t="inlineStr">
        <is>
          <t>Medium</t>
        </is>
      </c>
      <c r="M26" s="43" t="n">
        <v>25</v>
      </c>
    </row>
    <row r="27">
      <c r="A27" s="9" t="n">
        <v>46171</v>
      </c>
      <c r="B27" s="19" t="inlineStr">
        <is>
          <t>PROD-010</t>
        </is>
      </c>
      <c r="C27" s="10" t="inlineStr">
        <is>
          <t>Premium Minimalist Tee</t>
        </is>
      </c>
      <c r="D27" s="10" t="inlineStr">
        <is>
          <t>Avril</t>
        </is>
      </c>
      <c r="E27" s="10" t="inlineStr">
        <is>
          <t>Apparel</t>
        </is>
      </c>
      <c r="F27" s="10" t="inlineStr">
        <is>
          <t>$25 / 850 THB</t>
        </is>
      </c>
      <c r="G27" s="12" t="n">
        <v>1</v>
      </c>
      <c r="H27" s="12" t="n">
        <v>50</v>
      </c>
      <c r="I27" s="20">
        <f>H27 - SUMIFS(G$2:G$28, B$2:B$28, B27, K$2:K$28, K27)</f>
        <v/>
      </c>
      <c r="J27" s="19" t="inlineStr">
        <is>
          <t>🟢 Healthy</t>
        </is>
      </c>
      <c r="K27" s="10" t="inlineStr">
        <is>
          <t>Red</t>
        </is>
      </c>
      <c r="L27" s="19" t="inlineStr">
        <is>
          <t>Medium</t>
        </is>
      </c>
      <c r="M27" s="44" t="n">
        <v>25</v>
      </c>
    </row>
    <row r="28">
      <c r="A28" s="5" t="n">
        <v>46170</v>
      </c>
      <c r="B28" s="17" t="inlineStr">
        <is>
          <t>PROD-002</t>
        </is>
      </c>
      <c r="C28" s="6" t="inlineStr">
        <is>
          <t>AeroFit Sports T-Shirt</t>
        </is>
      </c>
      <c r="D28" s="6" t="inlineStr">
        <is>
          <t>Jeneffer</t>
        </is>
      </c>
      <c r="E28" s="6" t="inlineStr">
        <is>
          <t>Apparel</t>
        </is>
      </c>
      <c r="F28" s="6" t="inlineStr">
        <is>
          <t>$35 / 1,200 THB</t>
        </is>
      </c>
      <c r="G28" s="8" t="n">
        <v>2</v>
      </c>
      <c r="H28" s="8" t="n">
        <v>50</v>
      </c>
      <c r="I28" s="18">
        <f>H28 - SUMIFS(G$2:G$28, B$2:B$28, B28, K$2:K$28, K28)</f>
        <v/>
      </c>
      <c r="J28" s="17" t="inlineStr">
        <is>
          <t>⚠️ Low Stock</t>
        </is>
      </c>
      <c r="K28" s="6" t="inlineStr">
        <is>
          <t>Black</t>
        </is>
      </c>
      <c r="L28" s="17" t="inlineStr">
        <is>
          <t>Medium</t>
        </is>
      </c>
      <c r="M28" s="43" t="n">
        <v>70</v>
      </c>
    </row>
    <row r="29">
      <c r="A29" s="13" t="n">
        <v>46175</v>
      </c>
      <c r="B29" s="27" t="inlineStr">
        <is>
          <t>PROD-009</t>
        </is>
      </c>
      <c r="C29" s="14" t="inlineStr">
        <is>
          <t>Streetwear Cargo Joggers</t>
        </is>
      </c>
      <c r="D29" s="14" t="inlineStr">
        <is>
          <t>Haily</t>
        </is>
      </c>
      <c r="E29" s="14" t="inlineStr">
        <is>
          <t>Apparel</t>
        </is>
      </c>
      <c r="F29" s="14" t="inlineStr">
        <is>
          <t>$42 / 1,450 THB</t>
        </is>
      </c>
      <c r="G29" s="16" t="n">
        <v>5</v>
      </c>
      <c r="H29" s="16" t="n">
        <v>50</v>
      </c>
      <c r="I29" s="28">
        <f>H29-SUMIFS(G$2:G$29, B$2:B$29, B29, K$2:K$29, K29)</f>
        <v/>
      </c>
      <c r="J29" s="27" t="inlineStr">
        <is>
          <t>🟢 Healthy</t>
        </is>
      </c>
      <c r="K29" s="14" t="inlineStr">
        <is>
          <t>Dark Blue</t>
        </is>
      </c>
      <c r="L29" s="27" t="inlineStr">
        <is>
          <t>Large</t>
        </is>
      </c>
      <c r="M29" s="45" t="n">
        <v>210</v>
      </c>
    </row>
  </sheetData>
  <autoFilter ref="B1:B99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J26" sqref="J26"/>
    </sheetView>
  </sheetViews>
  <sheetFormatPr baseColWidth="8" defaultRowHeight="12.75"/>
  <cols>
    <col width="28" bestFit="1" customWidth="1" min="2" max="2"/>
    <col width="15" bestFit="1" customWidth="1" min="3" max="3"/>
    <col width="18" bestFit="1" customWidth="1" min="4" max="4"/>
    <col width="22" bestFit="1" customWidth="1" min="5" max="5"/>
  </cols>
  <sheetData>
    <row r="2" ht="20.25" customHeight="1">
      <c r="B2" s="29" t="inlineStr">
        <is>
          <t>The Vistas Studio — Sales Performance Pivot Table</t>
        </is>
      </c>
      <c r="C2" s="29" t="n"/>
      <c r="D2" s="29" t="n"/>
      <c r="E2" s="29" t="n"/>
    </row>
    <row r="3">
      <c r="B3" s="30" t="inlineStr">
        <is>
          <t>Aggregated daily units sold and gross revenue by product variants.</t>
        </is>
      </c>
      <c r="C3" s="30" t="n"/>
      <c r="D3" s="30" t="n"/>
      <c r="E3" s="30" t="n"/>
    </row>
    <row r="5" ht="30" customHeight="1">
      <c r="B5" s="35" t="inlineStr">
        <is>
          <t>Product Name</t>
        </is>
      </c>
      <c r="C5" s="35" t="inlineStr">
        <is>
          <t>Color Sold</t>
        </is>
      </c>
      <c r="D5" s="31" t="inlineStr">
        <is>
          <t>Total Units Sold</t>
        </is>
      </c>
      <c r="E5" s="31" t="inlineStr">
        <is>
          <t>Total Revenue (USD)</t>
        </is>
      </c>
    </row>
    <row r="6" ht="14.25" customHeight="1">
      <c r="B6" s="36" t="inlineStr">
        <is>
          <t>Active Dry-Fit T-Shirt</t>
        </is>
      </c>
      <c r="C6" s="36" t="inlineStr">
        <is>
          <t>Black</t>
        </is>
      </c>
      <c r="D6" s="37" t="n">
        <v>1</v>
      </c>
      <c r="E6" s="43" t="n">
        <v>30</v>
      </c>
    </row>
    <row r="7" ht="14.25" customHeight="1">
      <c r="B7" s="38" t="n"/>
      <c r="C7" s="38" t="inlineStr">
        <is>
          <t>Green</t>
        </is>
      </c>
      <c r="D7" s="39" t="n">
        <v>6</v>
      </c>
      <c r="E7" s="44" t="n">
        <v>180</v>
      </c>
    </row>
    <row r="8" ht="14.25" customHeight="1">
      <c r="B8" s="36" t="inlineStr">
        <is>
          <t>AeroFit Sports T-Shirt</t>
        </is>
      </c>
      <c r="C8" s="36" t="inlineStr">
        <is>
          <t>Black</t>
        </is>
      </c>
      <c r="D8" s="37" t="n">
        <v>2</v>
      </c>
      <c r="E8" s="43" t="n">
        <v>70</v>
      </c>
    </row>
    <row r="9" ht="14.25" customHeight="1">
      <c r="B9" s="38" t="inlineStr">
        <is>
          <t>Classic Camp Collar Shirt</t>
        </is>
      </c>
      <c r="C9" s="38" t="inlineStr">
        <is>
          <t>Black</t>
        </is>
      </c>
      <c r="D9" s="39" t="n">
        <v>1</v>
      </c>
      <c r="E9" s="44" t="n">
        <v>40</v>
      </c>
    </row>
    <row r="10" ht="14.25" customHeight="1">
      <c r="B10" s="36" t="n"/>
      <c r="C10" s="36" t="inlineStr">
        <is>
          <t>Dark Blue</t>
        </is>
      </c>
      <c r="D10" s="37" t="n">
        <v>3</v>
      </c>
      <c r="E10" s="43" t="n">
        <v>120</v>
      </c>
    </row>
    <row r="11" ht="14.25" customHeight="1">
      <c r="B11" s="38" t="inlineStr">
        <is>
          <t>Classic Flare Skirt</t>
        </is>
      </c>
      <c r="C11" s="38" t="inlineStr">
        <is>
          <t>Black</t>
        </is>
      </c>
      <c r="D11" s="39" t="n">
        <v>3</v>
      </c>
      <c r="E11" s="44" t="n">
        <v>84</v>
      </c>
    </row>
    <row r="12" ht="14.25" customHeight="1">
      <c r="B12" s="36" t="n"/>
      <c r="C12" s="36" t="inlineStr">
        <is>
          <t>Dark Blue</t>
        </is>
      </c>
      <c r="D12" s="37" t="n">
        <v>3</v>
      </c>
      <c r="E12" s="43" t="n">
        <v>84</v>
      </c>
    </row>
    <row r="13" ht="14.25" customHeight="1">
      <c r="B13" s="38" t="inlineStr">
        <is>
          <t>Cozy Oversized Hoodie</t>
        </is>
      </c>
      <c r="C13" s="38" t="inlineStr">
        <is>
          <t>Black</t>
        </is>
      </c>
      <c r="D13" s="39" t="n">
        <v>14</v>
      </c>
      <c r="E13" s="44" t="n">
        <v>700</v>
      </c>
    </row>
    <row r="14" ht="14.25" customHeight="1">
      <c r="B14" s="36" t="n"/>
      <c r="C14" s="36" t="inlineStr">
        <is>
          <t>Green</t>
        </is>
      </c>
      <c r="D14" s="37" t="n">
        <v>1</v>
      </c>
      <c r="E14" s="43" t="n">
        <v>50</v>
      </c>
    </row>
    <row r="15" ht="14.25" customHeight="1">
      <c r="B15" s="38" t="n"/>
      <c r="C15" s="38" t="inlineStr">
        <is>
          <t>Red</t>
        </is>
      </c>
      <c r="D15" s="39" t="n">
        <v>2</v>
      </c>
      <c r="E15" s="44" t="n">
        <v>100</v>
      </c>
    </row>
    <row r="16" ht="14.25" customHeight="1">
      <c r="B16" s="36" t="inlineStr">
        <is>
          <t>Premium Minimalist Tee</t>
        </is>
      </c>
      <c r="C16" s="36" t="inlineStr">
        <is>
          <t>Black</t>
        </is>
      </c>
      <c r="D16" s="37" t="n">
        <v>7</v>
      </c>
      <c r="E16" s="43" t="n">
        <v>175</v>
      </c>
    </row>
    <row r="17" ht="14.25" customHeight="1">
      <c r="B17" s="38" t="n"/>
      <c r="C17" s="38" t="inlineStr">
        <is>
          <t>Green</t>
        </is>
      </c>
      <c r="D17" s="39" t="n">
        <v>1</v>
      </c>
      <c r="E17" s="44" t="n">
        <v>25</v>
      </c>
    </row>
    <row r="18" ht="14.25" customHeight="1">
      <c r="B18" s="36" t="n"/>
      <c r="C18" s="36" t="inlineStr">
        <is>
          <t>Red</t>
        </is>
      </c>
      <c r="D18" s="37" t="n">
        <v>1</v>
      </c>
      <c r="E18" s="43" t="n">
        <v>25</v>
      </c>
    </row>
    <row r="19" ht="14.25" customHeight="1">
      <c r="B19" s="38" t="inlineStr">
        <is>
          <t>Racing Edition Polo Shirt</t>
        </is>
      </c>
      <c r="C19" s="38" t="inlineStr">
        <is>
          <t>Black</t>
        </is>
      </c>
      <c r="D19" s="39" t="n">
        <v>2</v>
      </c>
      <c r="E19" s="44" t="n">
        <v>90</v>
      </c>
    </row>
    <row r="20" ht="14.25" customHeight="1">
      <c r="B20" s="36" t="n"/>
      <c r="C20" s="36" t="inlineStr">
        <is>
          <t>Dark Blue</t>
        </is>
      </c>
      <c r="D20" s="37" t="n">
        <v>5</v>
      </c>
      <c r="E20" s="43" t="n">
        <v>225</v>
      </c>
    </row>
    <row r="21" ht="14.25" customHeight="1">
      <c r="B21" s="38" t="n"/>
      <c r="C21" s="38" t="inlineStr">
        <is>
          <t>Green</t>
        </is>
      </c>
      <c r="D21" s="39" t="n">
        <v>1</v>
      </c>
      <c r="E21" s="44" t="n">
        <v>45</v>
      </c>
    </row>
    <row r="22" ht="14.25" customHeight="1">
      <c r="B22" s="36" t="n"/>
      <c r="C22" s="36" t="inlineStr">
        <is>
          <t>Red</t>
        </is>
      </c>
      <c r="D22" s="37" t="n">
        <v>2</v>
      </c>
      <c r="E22" s="43" t="n">
        <v>90</v>
      </c>
    </row>
    <row r="23" ht="14.25" customHeight="1">
      <c r="B23" s="38" t="inlineStr">
        <is>
          <t>Streetwear Cargo Joggers</t>
        </is>
      </c>
      <c r="C23" s="38" t="inlineStr">
        <is>
          <t>Black</t>
        </is>
      </c>
      <c r="D23" s="39" t="n">
        <v>2</v>
      </c>
      <c r="E23" s="44" t="n">
        <v>84</v>
      </c>
    </row>
    <row r="24" ht="14.25" customHeight="1">
      <c r="B24" s="36" t="n"/>
      <c r="C24" s="36" t="inlineStr">
        <is>
          <t>Dark Blue</t>
        </is>
      </c>
      <c r="D24" s="37" t="n">
        <v>5</v>
      </c>
      <c r="E24" s="43" t="n">
        <v>210</v>
      </c>
    </row>
    <row r="25" ht="15" customHeight="1">
      <c r="B25" s="38" t="n"/>
      <c r="C25" s="38" t="inlineStr">
        <is>
          <t>Green</t>
        </is>
      </c>
      <c r="D25" s="39" t="n">
        <v>1</v>
      </c>
      <c r="E25" s="44" t="n">
        <v>42</v>
      </c>
    </row>
    <row r="26">
      <c r="B26" s="40" t="inlineStr">
        <is>
          <t>Grand Total</t>
        </is>
      </c>
      <c r="C26" s="40" t="n"/>
      <c r="D26" s="41" t="n">
        <v>63</v>
      </c>
      <c r="E26" s="46" t="n">
        <v>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2026-06-01T06:49:52Z</dcterms:created>
  <dcterms:modified xmlns:dcterms="http://purl.org/dc/terms/" xmlns:xsi="http://www.w3.org/2001/XMLSchema-instance" xsi:type="dcterms:W3CDTF">2026-06-01T23:58:07Z</dcterms:modified>
  <cp:lastModifiedBy>Avril Lwin</cp:lastModifiedBy>
</cp:coreProperties>
</file>